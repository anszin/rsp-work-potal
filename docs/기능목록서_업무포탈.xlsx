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 대시보드" sheetId="1" state="visible" r:id="rId3"/>
    <sheet name="기능목록서" sheetId="2" state="visible" r:id="rId4"/>
    <sheet name="변경 이력" sheetId="3" state="visible" r:id="rId5"/>
    <sheet name="설정 및 코드" sheetId="4" state="visible" r:id="rId6"/>
  </sheets>
  <definedNames>
    <definedName function="false" hidden="true" localSheetId="1" name="_xlnm._FilterDatabase" vbProcedure="false">기능목록서!$A$5:$N$20</definedName>
    <definedName function="false" hidden="true" localSheetId="2" name="_xlnm._FilterDatabase" vbProcedure="false">'변경 이력'!$A$5:$K$35</definedName>
  </definedNames>
  <calcPr fullCalcOnLoa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<sst xmlns="http://schemas.openxmlformats.org/spreadsheetml/2006/main" count="268" uniqueCount="170">
  <si>
    <t xml:space="preserve">프로젝트 기능 정의 및 진척도 요약</t>
  </si>
  <si>
    <t xml:space="preserve">Project Functional Requirements &amp; Progress Dashboard</t>
  </si>
  <si>
    <t xml:space="preserve">프로젝트명</t>
  </si>
  <si>
    <t xml:space="preserve">차세대 통합 e-Commerce 플랫폼 구축</t>
  </si>
  <si>
    <t xml:space="preserve">문서버전</t>
  </si>
  <si>
    <t xml:space="preserve">1.0</t>
  </si>
  <si>
    <t xml:space="preserve">작성일자</t>
  </si>
  <si>
    <t xml:space="preserve">2026-09-01</t>
  </si>
  <si>
    <t xml:space="preserve">총괄 PM</t>
  </si>
  <si>
    <t xml:space="preserve">홍길동</t>
  </si>
  <si>
    <t xml:space="preserve">진행 상태별 현황</t>
  </si>
  <si>
    <t xml:space="preserve">총 기능 수</t>
  </si>
  <si>
    <t xml:space="preserve">완료 건수</t>
  </si>
  <si>
    <t xml:space="preserve">진행중 건수</t>
  </si>
  <si>
    <t xml:space="preserve">미착수/보류</t>
  </si>
  <si>
    <t xml:space="preserve">상태</t>
  </si>
  <si>
    <t xml:space="preserve">기능 수</t>
  </si>
  <si>
    <t xml:space="preserve">완료</t>
  </si>
  <si>
    <t xml:space="preserve">테스트</t>
  </si>
  <si>
    <t xml:space="preserve">개발중</t>
  </si>
  <si>
    <t xml:space="preserve">설계중</t>
  </si>
  <si>
    <t xml:space="preserve">미착수</t>
  </si>
  <si>
    <t xml:space="preserve">보류</t>
  </si>
  <si>
    <t xml:space="preserve">우선순위별 현황</t>
  </si>
  <si>
    <t xml:space="preserve">우선순위</t>
  </si>
  <si>
    <r>
      <rPr>
        <sz val="10"/>
        <color rgb="FF1E293B"/>
        <rFont val="Malgun Gothic"/>
        <family val="0"/>
        <charset val="1"/>
      </rPr>
      <t xml:space="preserve">Critical (</t>
    </r>
    <r>
      <rPr>
        <sz val="10"/>
        <color rgb="FF1E293B"/>
        <rFont val="Noto Sans CJK SC"/>
        <family val="2"/>
      </rPr>
      <t xml:space="preserve">최우선</t>
    </r>
    <r>
      <rPr>
        <sz val="10"/>
        <color rgb="FF1E293B"/>
        <rFont val="Malgun Gothic"/>
        <family val="0"/>
        <charset val="1"/>
      </rPr>
      <t xml:space="preserve">)</t>
    </r>
  </si>
  <si>
    <r>
      <rPr>
        <sz val="10"/>
        <color rgb="FF1E293B"/>
        <rFont val="Malgun Gothic"/>
        <family val="0"/>
        <charset val="1"/>
      </rPr>
      <t xml:space="preserve">High (</t>
    </r>
    <r>
      <rPr>
        <sz val="10"/>
        <color rgb="FF1E293B"/>
        <rFont val="Noto Sans CJK SC"/>
        <family val="2"/>
      </rPr>
      <t xml:space="preserve">높음</t>
    </r>
    <r>
      <rPr>
        <sz val="10"/>
        <color rgb="FF1E293B"/>
        <rFont val="Malgun Gothic"/>
        <family val="0"/>
        <charset val="1"/>
      </rPr>
      <t xml:space="preserve">)</t>
    </r>
  </si>
  <si>
    <r>
      <rPr>
        <sz val="10"/>
        <color rgb="FF1E293B"/>
        <rFont val="Malgun Gothic"/>
        <family val="0"/>
        <charset val="1"/>
      </rPr>
      <t xml:space="preserve">Medium (</t>
    </r>
    <r>
      <rPr>
        <sz val="10"/>
        <color rgb="FF1E293B"/>
        <rFont val="Noto Sans CJK SC"/>
        <family val="2"/>
      </rPr>
      <t xml:space="preserve">보통</t>
    </r>
    <r>
      <rPr>
        <sz val="10"/>
        <color rgb="FF1E293B"/>
        <rFont val="Malgun Gothic"/>
        <family val="0"/>
        <charset val="1"/>
      </rPr>
      <t xml:space="preserve">)</t>
    </r>
  </si>
  <si>
    <r>
      <rPr>
        <sz val="10"/>
        <color rgb="FF1E293B"/>
        <rFont val="Malgun Gothic"/>
        <family val="0"/>
        <charset val="1"/>
      </rPr>
      <t xml:space="preserve">Low (</t>
    </r>
    <r>
      <rPr>
        <sz val="10"/>
        <color rgb="FF1E293B"/>
        <rFont val="Noto Sans CJK SC"/>
        <family val="2"/>
      </rPr>
      <t xml:space="preserve">낮음</t>
    </r>
    <r>
      <rPr>
        <sz val="10"/>
        <color rgb="FF1E293B"/>
        <rFont val="Malgun Gothic"/>
        <family val="0"/>
        <charset val="1"/>
      </rPr>
      <t xml:space="preserve">)</t>
    </r>
  </si>
  <si>
    <t xml:space="preserve">프로젝트 상세 기능목록서 (Functional Requirements)</t>
  </si>
  <si>
    <t xml:space="preserve">No</t>
  </si>
  <si>
    <t xml:space="preserve">기능 ID</t>
  </si>
  <si>
    <t xml:space="preserve">대분류</t>
  </si>
  <si>
    <t xml:space="preserve">중분류</t>
  </si>
  <si>
    <t xml:space="preserve">소분류 / 기능명</t>
  </si>
  <si>
    <t xml:space="preserve">상세 기능 정의 / 요구사항</t>
  </si>
  <si>
    <t xml:space="preserve">난이도</t>
  </si>
  <si>
    <t xml:space="preserve">담당자</t>
  </si>
  <si>
    <t xml:space="preserve">진행상태</t>
  </si>
  <si>
    <t xml:space="preserve">진척률(%)</t>
  </si>
  <si>
    <t xml:space="preserve">목표완료일</t>
  </si>
  <si>
    <t xml:space="preserve">실제완료일</t>
  </si>
  <si>
    <t xml:space="preserve">비고 / 이슈사항</t>
  </si>
  <si>
    <t xml:space="preserve">F-AUTH-001</t>
  </si>
  <si>
    <t xml:space="preserve">회원/인증</t>
  </si>
  <si>
    <t xml:space="preserve">회원가입</t>
  </si>
  <si>
    <t xml:space="preserve">일반 회원가입</t>
  </si>
  <si>
    <t xml:space="preserve">이메일/비밀번호 기반 계정 생성 및 본인인증(휴대폰 PASS) 연동</t>
  </si>
  <si>
    <t xml:space="preserve">상</t>
  </si>
  <si>
    <t xml:space="preserve">중</t>
  </si>
  <si>
    <t xml:space="preserve">김개발</t>
  </si>
  <si>
    <t xml:space="preserve">2026-08-10</t>
  </si>
  <si>
    <t xml:space="preserve">2026-08-09</t>
  </si>
  <si>
    <r>
      <rPr>
        <sz val="10"/>
        <color rgb="FF1E293B"/>
        <rFont val="Malgun Gothic"/>
        <family val="0"/>
        <charset val="1"/>
      </rPr>
      <t xml:space="preserve">PASS </t>
    </r>
    <r>
      <rPr>
        <sz val="10"/>
        <color rgb="FF1E293B"/>
        <rFont val="Noto Sans CJK SC"/>
        <family val="2"/>
      </rPr>
      <t xml:space="preserve">연동 모듈 적용 완료</t>
    </r>
  </si>
  <si>
    <t xml:space="preserve">F-AUTH-002</t>
  </si>
  <si>
    <r>
      <rPr>
        <sz val="10"/>
        <color rgb="FF1E293B"/>
        <rFont val="Malgun Gothic"/>
        <family val="0"/>
        <charset val="1"/>
      </rPr>
      <t xml:space="preserve">SNS </t>
    </r>
    <r>
      <rPr>
        <sz val="10"/>
        <color rgb="FF1E293B"/>
        <rFont val="Noto Sans CJK SC"/>
        <family val="2"/>
      </rPr>
      <t xml:space="preserve">간편가입</t>
    </r>
  </si>
  <si>
    <t xml:space="preserve">카카오, 네이버, 애플 OAuth 2.0 간편 로그인 및 계정 연동</t>
  </si>
  <si>
    <t xml:space="preserve">2026-08-15</t>
  </si>
  <si>
    <t xml:space="preserve">2026-08-14</t>
  </si>
  <si>
    <t xml:space="preserve">애플 로그인 심사용 계정 설정 필요</t>
  </si>
  <si>
    <t xml:space="preserve">F-AUTH-003</t>
  </si>
  <si>
    <t xml:space="preserve">로그인</t>
  </si>
  <si>
    <r>
      <rPr>
        <sz val="10"/>
        <color rgb="FF1E293B"/>
        <rFont val="Malgun Gothic"/>
        <family val="0"/>
        <charset val="1"/>
      </rPr>
      <t xml:space="preserve">2</t>
    </r>
    <r>
      <rPr>
        <sz val="10"/>
        <color rgb="FF1E293B"/>
        <rFont val="Noto Sans CJK SC"/>
        <family val="2"/>
      </rPr>
      <t xml:space="preserve">차 인증</t>
    </r>
    <r>
      <rPr>
        <sz val="10"/>
        <color rgb="FF1E293B"/>
        <rFont val="Malgun Gothic"/>
        <family val="0"/>
        <charset val="1"/>
      </rPr>
      <t xml:space="preserve">(2FA)</t>
    </r>
  </si>
  <si>
    <t xml:space="preserve">관리자 및 판매자 로그인 시 이메일/SMS OTP 2단계 인증 강제</t>
  </si>
  <si>
    <t xml:space="preserve">이보안</t>
  </si>
  <si>
    <t xml:space="preserve">2026-08-25</t>
  </si>
  <si>
    <r>
      <rPr>
        <sz val="10"/>
        <color rgb="FF1E293B"/>
        <rFont val="Malgun Gothic"/>
        <family val="0"/>
        <charset val="1"/>
      </rPr>
      <t xml:space="preserve">QA </t>
    </r>
    <r>
      <rPr>
        <sz val="10"/>
        <color rgb="FF1E293B"/>
        <rFont val="Noto Sans CJK SC"/>
        <family val="2"/>
      </rPr>
      <t xml:space="preserve">진행 중</t>
    </r>
    <r>
      <rPr>
        <sz val="10"/>
        <color rgb="FF1E293B"/>
        <rFont val="Malgun Gothic"/>
        <family val="0"/>
        <charset val="1"/>
      </rPr>
      <t xml:space="preserve">, </t>
    </r>
    <r>
      <rPr>
        <sz val="10"/>
        <color rgb="FF1E293B"/>
        <rFont val="Noto Sans CJK SC"/>
        <family val="2"/>
      </rPr>
      <t xml:space="preserve">모바일 앱 연동 테스트</t>
    </r>
  </si>
  <si>
    <t xml:space="preserve">F-PROD-001</t>
  </si>
  <si>
    <t xml:space="preserve">상품관리</t>
  </si>
  <si>
    <t xml:space="preserve">상품등록</t>
  </si>
  <si>
    <t xml:space="preserve">기본 상품 등록</t>
  </si>
  <si>
    <t xml:space="preserve">상품 기본정보, 가격, 옵션(SKU), 대표이미지, 상세설명 HTML 에디터 등록</t>
  </si>
  <si>
    <t xml:space="preserve">박서버</t>
  </si>
  <si>
    <t xml:space="preserve">2026-08-20</t>
  </si>
  <si>
    <r>
      <rPr>
        <sz val="10"/>
        <color rgb="FF1E293B"/>
        <rFont val="Malgun Gothic"/>
        <family val="0"/>
        <charset val="1"/>
      </rPr>
      <t xml:space="preserve">AWS S3 </t>
    </r>
    <r>
      <rPr>
        <sz val="10"/>
        <color rgb="FF1E293B"/>
        <rFont val="Noto Sans CJK SC"/>
        <family val="2"/>
      </rPr>
      <t xml:space="preserve">이미지 업로드 최적화</t>
    </r>
  </si>
  <si>
    <t xml:space="preserve">F-PROD-002</t>
  </si>
  <si>
    <t xml:space="preserve">카테고리/태그</t>
  </si>
  <si>
    <t xml:space="preserve">계층형 카테고리</t>
  </si>
  <si>
    <t xml:space="preserve">최대 3뎁스 계층 카테고리 관리 및 드래그 앤 드롭 정렬 기능</t>
  </si>
  <si>
    <t xml:space="preserve">긴급</t>
  </si>
  <si>
    <t xml:space="preserve">최프론트</t>
  </si>
  <si>
    <t xml:space="preserve">2026-09-05</t>
  </si>
  <si>
    <t xml:space="preserve">트리 컴포넌트 라이브러리 교체 검토</t>
  </si>
  <si>
    <t xml:space="preserve">F-PROD-003</t>
  </si>
  <si>
    <t xml:space="preserve">재고관리</t>
  </si>
  <si>
    <t xml:space="preserve">실시간 재고 차감</t>
  </si>
  <si>
    <t xml:space="preserve">주문 접수 및 결제 완료 시 동시성 제어(Redis Lock) 기반 재고 차감</t>
  </si>
  <si>
    <t xml:space="preserve">2026-09-10</t>
  </si>
  <si>
    <t xml:space="preserve">동시성 부하 테스트 예정</t>
  </si>
  <si>
    <t xml:space="preserve">F-ORD-001</t>
  </si>
  <si>
    <t xml:space="preserve">주문/결제</t>
  </si>
  <si>
    <t xml:space="preserve">장바구니</t>
  </si>
  <si>
    <t xml:space="preserve">장바구니 담기/수정</t>
  </si>
  <si>
    <t xml:space="preserve">비회원/회원 장바구니 로직 분리, 쿠키 및 DB 자동 병합</t>
  </si>
  <si>
    <t xml:space="preserve">2026-09-02</t>
  </si>
  <si>
    <t xml:space="preserve">비회원 장바구니 만료 주기 7일</t>
  </si>
  <si>
    <t xml:space="preserve">F-ORD-002</t>
  </si>
  <si>
    <t xml:space="preserve">결제연동</t>
  </si>
  <si>
    <r>
      <rPr>
        <sz val="10"/>
        <color rgb="FF1E293B"/>
        <rFont val="Malgun Gothic"/>
        <family val="0"/>
        <charset val="1"/>
      </rPr>
      <t xml:space="preserve">PG</t>
    </r>
    <r>
      <rPr>
        <sz val="10"/>
        <color rgb="FF1E293B"/>
        <rFont val="Noto Sans CJK SC"/>
        <family val="2"/>
      </rPr>
      <t xml:space="preserve">사 결제 모듈 연동</t>
    </r>
  </si>
  <si>
    <t xml:space="preserve">토스페이먼츠, 카카오페이, 네이버페이, 가상계좌, 카드 결제</t>
  </si>
  <si>
    <t xml:space="preserve">하</t>
  </si>
  <si>
    <t xml:space="preserve">2026-09-12</t>
  </si>
  <si>
    <r>
      <rPr>
        <sz val="10"/>
        <color rgb="FF1E293B"/>
        <rFont val="Malgun Gothic"/>
        <family val="0"/>
        <charset val="1"/>
      </rPr>
      <t xml:space="preserve">PG</t>
    </r>
    <r>
      <rPr>
        <sz val="10"/>
        <color rgb="FF1E293B"/>
        <rFont val="Noto Sans CJK SC"/>
        <family val="2"/>
      </rPr>
      <t xml:space="preserve">사 계약 및 테스트 키 발급 완료</t>
    </r>
  </si>
  <si>
    <t xml:space="preserve">F-ORD-003</t>
  </si>
  <si>
    <t xml:space="preserve">주문서 작성</t>
  </si>
  <si>
    <t xml:space="preserve">배송지 및 쿠폰 적용</t>
  </si>
  <si>
    <t xml:space="preserve">기본 배송지 불러오기, 보유 쿠폰 및 적립금 즉시 할인 계산</t>
  </si>
  <si>
    <t xml:space="preserve">2026-09-15</t>
  </si>
  <si>
    <t xml:space="preserve">복합 쿠폰 적용 룰 협의 중</t>
  </si>
  <si>
    <t xml:space="preserve">F-DELV-001</t>
  </si>
  <si>
    <t xml:space="preserve">배송/물류</t>
  </si>
  <si>
    <t xml:space="preserve">운송장연동</t>
  </si>
  <si>
    <t xml:space="preserve">택배사 API 자동연동</t>
  </si>
  <si>
    <r>
      <rPr>
        <sz val="10"/>
        <color rgb="FF1E293B"/>
        <rFont val="Malgun Gothic"/>
        <family val="0"/>
        <charset val="1"/>
      </rPr>
      <t xml:space="preserve">CJ</t>
    </r>
    <r>
      <rPr>
        <sz val="10"/>
        <color rgb="FF1E293B"/>
        <rFont val="Noto Sans CJK SC"/>
        <family val="2"/>
      </rPr>
      <t xml:space="preserve">대한통운</t>
    </r>
    <r>
      <rPr>
        <sz val="10"/>
        <color rgb="FF1E293B"/>
        <rFont val="Malgun Gothic"/>
        <family val="0"/>
        <charset val="1"/>
      </rPr>
      <t xml:space="preserve">/</t>
    </r>
    <r>
      <rPr>
        <sz val="10"/>
        <color rgb="FF1E293B"/>
        <rFont val="Noto Sans CJK SC"/>
        <family val="2"/>
      </rPr>
      <t xml:space="preserve">우체국택배 송장 자동 채번 및 배송추적 웹훅 연동</t>
    </r>
  </si>
  <si>
    <t xml:space="preserve">2026-09-20</t>
  </si>
  <si>
    <t xml:space="preserve">택배사 API 문서 수령</t>
  </si>
  <si>
    <t xml:space="preserve">F-MY-001</t>
  </si>
  <si>
    <t xml:space="preserve">마이페이지</t>
  </si>
  <si>
    <t xml:space="preserve">주문내역</t>
  </si>
  <si>
    <t xml:space="preserve">주문/배송 상태 조회</t>
  </si>
  <si>
    <t xml:space="preserve">주문 접수, 배송 준비, 배송 중, 배송 완료 실시간 타임라인 UI</t>
  </si>
  <si>
    <t xml:space="preserve">2026-09-18</t>
  </si>
  <si>
    <t xml:space="preserve">F-MY-002</t>
  </si>
  <si>
    <t xml:space="preserve">취소/반품/교환</t>
  </si>
  <si>
    <t xml:space="preserve">클레임 신청 및 승인</t>
  </si>
  <si>
    <t xml:space="preserve">배송 전 즉시 취소, 배송 후 반품/교환 신청 및 자동 회수 접수</t>
  </si>
  <si>
    <t xml:space="preserve">2026-09-25</t>
  </si>
  <si>
    <t xml:space="preserve">반품 배송비 자동 차감 로직</t>
  </si>
  <si>
    <t xml:space="preserve">F-ADM-001</t>
  </si>
  <si>
    <t xml:space="preserve">관리자(Admin)</t>
  </si>
  <si>
    <t xml:space="preserve">권한관리</t>
  </si>
  <si>
    <r>
      <rPr>
        <sz val="10"/>
        <color rgb="FF1E293B"/>
        <rFont val="Malgun Gothic"/>
        <family val="0"/>
        <charset val="1"/>
      </rPr>
      <t xml:space="preserve">RBAC </t>
    </r>
    <r>
      <rPr>
        <sz val="10"/>
        <color rgb="FF1E293B"/>
        <rFont val="Noto Sans CJK SC"/>
        <family val="2"/>
      </rPr>
      <t xml:space="preserve">권한 부여</t>
    </r>
  </si>
  <si>
    <t xml:space="preserve">슈퍼관리자, 운영자, 정산담당자, CS담당자 메뉴별 접근/수정 권한</t>
  </si>
  <si>
    <t xml:space="preserve">2026-08-18</t>
  </si>
  <si>
    <t xml:space="preserve">보안 감사 로그 기능 포함</t>
  </si>
  <si>
    <t xml:space="preserve">F-ADM-002</t>
  </si>
  <si>
    <t xml:space="preserve">통계/대시보드</t>
  </si>
  <si>
    <t xml:space="preserve">실시간 매출 집계</t>
  </si>
  <si>
    <t xml:space="preserve">일/주/월간 결제액, 취소액, 순매출, 인기 상품 TOP 10 집계 차트</t>
  </si>
  <si>
    <t xml:space="preserve">2026-09-30</t>
  </si>
  <si>
    <r>
      <rPr>
        <sz val="10"/>
        <color rgb="FF1E293B"/>
        <rFont val="Malgun Gothic"/>
        <family val="0"/>
        <charset val="1"/>
      </rPr>
      <t xml:space="preserve">2</t>
    </r>
    <r>
      <rPr>
        <sz val="10"/>
        <color rgb="FF1E293B"/>
        <rFont val="Noto Sans CJK SC"/>
        <family val="2"/>
      </rPr>
      <t xml:space="preserve">차 릴리즈로 일정 조정 협의</t>
    </r>
  </si>
  <si>
    <t xml:space="preserve">F-NOTI-001</t>
  </si>
  <si>
    <t xml:space="preserve">공통/시스템</t>
  </si>
  <si>
    <t xml:space="preserve">알림서비스</t>
  </si>
  <si>
    <t xml:space="preserve">카카오 알림톡/SMS</t>
  </si>
  <si>
    <t xml:space="preserve">주문 완료, 배송 시작, 취소 접수 시 템플릿 기반 카카오 알림톡 발송</t>
  </si>
  <si>
    <t xml:space="preserve">2026-09-22</t>
  </si>
  <si>
    <t xml:space="preserve">비즈메시지 발신프로필 인증 필요</t>
  </si>
  <si>
    <t xml:space="preserve">문서 변경 이력 (Change History)</t>
  </si>
  <si>
    <t xml:space="preserve">기능목록서의 추가·수정·삭제 내역을 기록합니다. 변경 시 요약 대시보드의 문서버전도 함께 갱신하세요.</t>
  </si>
  <si>
    <t xml:space="preserve">변경일자</t>
  </si>
  <si>
    <t xml:space="preserve">버전</t>
  </si>
  <si>
    <t xml:space="preserve">변경구분</t>
  </si>
  <si>
    <t xml:space="preserve">대상 기능 ID</t>
  </si>
  <si>
    <t xml:space="preserve">변경 내용</t>
  </si>
  <si>
    <t xml:space="preserve">변경 사유</t>
  </si>
  <si>
    <t xml:space="preserve">요청자</t>
  </si>
  <si>
    <t xml:space="preserve">작성자</t>
  </si>
  <si>
    <t xml:space="preserve">승인자</t>
  </si>
  <si>
    <t xml:space="preserve">비고</t>
  </si>
  <si>
    <t xml:space="preserve">신규</t>
  </si>
  <si>
    <t xml:space="preserve">-</t>
  </si>
  <si>
    <t xml:space="preserve">기능목록서 최초 작성</t>
  </si>
  <si>
    <t xml:space="preserve">프로젝트 착수</t>
  </si>
  <si>
    <t xml:space="preserve">구분</t>
  </si>
  <si>
    <t xml:space="preserve">수정</t>
  </si>
  <si>
    <t xml:space="preserve">삭제</t>
  </si>
  <si>
    <t xml:space="preserve">고객센터</t>
  </si>
  <si>
    <t xml:space="preserve">범위변경</t>
  </si>
  <si>
    <t xml:space="preserve">통계/정산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</si>
</sst>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93B"/>
      <name val="Noto Sans CJK SC"/>
      <family val="2"/>
      <charset val="1"/>
    </font>
    <font>
      <i val="true"/>
      <sz val="9"/>
      <color rgb="FF64748B"/>
      <name val="Malgun Gothic"/>
      <family val="0"/>
      <charset val="1"/>
    </font>
    <font>
      <b val="true"/>
      <sz val="10"/>
      <color rgb="FF1E293B"/>
      <name val="Noto Sans CJK SC"/>
      <family val="2"/>
      <charset val="1"/>
    </font>
    <font>
      <sz val="10"/>
      <color rgb="FF1E293B"/>
      <name val="Noto Sans CJK SC"/>
      <family val="2"/>
      <charset val="1"/>
    </font>
    <font>
      <sz val="10"/>
      <color rgb="FF1E293B"/>
      <name val="Malgun Gothic"/>
      <family val="0"/>
      <charset val="1"/>
    </font>
    <font>
      <b val="true"/>
      <sz val="11"/>
      <color rgb="FF475569"/>
      <name val="Noto Sans CJK SC"/>
      <family val="2"/>
      <charset val="1"/>
    </font>
    <font>
      <b val="true"/>
      <sz val="9"/>
      <color rgb="FF64748B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6"/>
      <color rgb="FF1E40AF"/>
      <name val="Malgun Gothic"/>
      <family val="0"/>
      <charset val="1"/>
    </font>
    <font>
      <b val="true"/>
      <sz val="16"/>
      <color rgb="FF065F46"/>
      <name val="Malgun Gothic"/>
      <family val="0"/>
      <charset val="1"/>
    </font>
    <font>
      <b val="true"/>
      <sz val="16"/>
      <color rgb="FF92400E"/>
      <name val="Malgun Gothic"/>
      <family val="0"/>
      <charset val="1"/>
    </font>
    <font>
      <b val="true"/>
      <sz val="16"/>
      <color rgb="FF991B1B"/>
      <name val="Malgun Gothic"/>
      <family val="0"/>
      <charset val="1"/>
    </font>
    <font>
      <b val="true"/>
      <sz val="10"/>
      <color rgb="FF1E293B"/>
      <name val="Malgun Gothic"/>
      <family val="0"/>
      <charset val="1"/>
    </font>
    <font>
      <sz val="10"/>
      <color rgb="FF1E293B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FFFFFF"/>
      <name val="Malgun Gothic"/>
      <family val="0"/>
      <charset val="1"/>
    </font>
    <font>
      <sz val="9"/>
      <color rgb="FF64748B"/>
      <name val="Noto Sans CJK SC"/>
      <family val="2"/>
      <charset val="1"/>
    </font>
    <font>
      <sz val="11"/>
      <color theme="1"/>
      <name val="Noto Sans CJK SC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E2E8F0"/>
        <bgColor rgb="FFEFF6FF"/>
      </patternFill>
    </fill>
    <fill>
      <patternFill patternType="solid">
        <fgColor rgb="FFEFF6FF"/>
        <bgColor rgb="FFF8FAFC"/>
      </patternFill>
    </fill>
    <fill>
      <patternFill patternType="solid">
        <fgColor rgb="FFECFDF5"/>
        <bgColor rgb="FFEFF6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1E3A8A"/>
        <bgColor rgb="FF1E40AF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3A8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293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065F46"/>
      <rgbColor rgb="FFD9D9D9"/>
      <rgbColor rgb="FF8064A2"/>
      <rgbColor rgb="FF9999FF"/>
      <rgbColor rgb="FFC0504D"/>
      <rgbColor rgb="FFFEF3C7"/>
      <rgbColor rgb="FFECFDF5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8FAFC"/>
      <rgbColor rgb="FF99CCFF"/>
      <rgbColor rgb="FFFF99CC"/>
      <rgbColor rgb="FFCC99FF"/>
      <rgbColor rgb="FFFEE2E2"/>
      <rgbColor rgb="FF4F81BD"/>
      <rgbColor rgb="FF4BACC6"/>
      <rgbColor rgb="FF9BBB59"/>
      <rgbColor rgb="FFFFCC00"/>
      <rgbColor rgb="FFF79646"/>
      <rgbColor rgb="FFFF6600"/>
      <rgbColor rgb="FF64748B"/>
      <rgbColor rgb="FF969696"/>
      <rgbColor rgb="FF1E40AF"/>
      <rgbColor rgb="FF339966"/>
      <rgbColor rgb="FF003300"/>
      <rgbColor rgb="FF475569"/>
      <rgbColor rgb="FF92400E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기능 진행상태 분포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'요약 대시보드'!C11</c:f>
              <c:strCache>
                <c:ptCount val="1"/>
                <c:pt idx="0">
                  <c:v>기능 수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'요약 대시보드'!$B$12:$B$17</c:f>
              <c:strCache>
                <c:ptCount val="6"/>
                <c:pt idx="0">
                  <c:v>완료</c:v>
                </c:pt>
                <c:pt idx="1">
                  <c:v>테스트</c:v>
                </c:pt>
                <c:pt idx="2">
                  <c:v>개발중</c:v>
                </c:pt>
                <c:pt idx="3">
                  <c:v>설계중</c:v>
                </c:pt>
                <c:pt idx="4">
                  <c:v>미착수</c:v>
                </c:pt>
                <c:pt idx="5">
                  <c:v>보류</c:v>
                </c:pt>
              </c:strCache>
            </c:strRef>
          </c:cat>
          <c:val>
            <c:numRef>
              <c:f>'요약 대시보드'!$C$12:$C$17</c:f>
              <c:numCache>
                <c:formatCode>General</c:formatCode>
                <c:ptCount val="6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11</xdr:row>
      <xdr:rowOff>71280</xdr:rowOff>
    </xdr:from>
    <xdr:to>
      <xdr:col>8</xdr:col>
      <xdr:colOff>450360</xdr:colOff>
      <xdr:row>25</xdr:row>
      <xdr:rowOff>103320</xdr:rowOff>
    </xdr:to>
    <xdr:graphicFrame>
      <xdr:nvGraphicFramePr>
        <xdr:cNvPr id="0" name="Chart 1"/>
        <xdr:cNvGraphicFramePr/>
      </xdr:nvGraphicFramePr>
      <xdr:xfrm>
        <a:off x="4158720" y="2280960"/>
        <a:ext cx="4679280" cy="26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32"/>
    <col collapsed="false" customWidth="true" hidden="false" outlineLevel="0" max="4" min="4" style="1" width="4"/>
    <col collapsed="false" customWidth="true" hidden="false" outlineLevel="0" max="8" min="5" style="1" width="15"/>
  </cols>
  <sheetData>
    <row r="2" customFormat="false" ht="19.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inlineStr">
        <is>
          <t>플랫폼팀 업무 포탈</t>
        </is>
      </c>
    </row>
    <row r="6" customFormat="false" ht="15" hidden="false" customHeight="true" outlineLevel="0" collapsed="false">
      <c r="B6" s="4" t="s">
        <v>4</v>
      </c>
      <c r="C6" s="6" t="inlineStr">
        <is>
          <t>1.0</t>
        </is>
      </c>
    </row>
    <row r="7" customFormat="false" ht="15" hidden="false" customHeight="true" outlineLevel="0" collapsed="false">
      <c r="B7" s="4" t="s">
        <v>6</v>
      </c>
      <c r="C7" s="6" t="inlineStr">
        <is>
          <t>2026-10-21</t>
        </is>
      </c>
    </row>
    <row r="8" customFormat="false" ht="15" hidden="false" customHeight="true" outlineLevel="0" collapsed="false">
      <c r="B8" s="4" t="s">
        <v>8</v>
      </c>
      <c r="C8" s="5" t="inlineStr">
        <is>
          <t>안성진</t>
        </is>
      </c>
    </row>
    <row r="10" customFormat="false" ht="15" hidden="false" customHeight="true" outlineLevel="0" collapsed="false">
      <c r="B10" s="7" t="s">
        <v>10</v>
      </c>
      <c r="C10" s="7"/>
      <c r="E10" s="8" t="s">
        <v>11</v>
      </c>
      <c r="F10" s="9" t="s">
        <v>12</v>
      </c>
      <c r="G10" s="10" t="s">
        <v>13</v>
      </c>
      <c r="H10" s="11" t="s">
        <v>14</v>
      </c>
    </row>
    <row r="11" customFormat="false" ht="19.5" hidden="false" customHeight="true" outlineLevel="0" collapsed="false">
      <c r="B11" s="12" t="s">
        <v>15</v>
      </c>
      <c r="C11" s="12" t="s">
        <v>16</v>
      </c>
      <c r="E11" s="13" t="n">
        <f aca="false">COUNTA(기능목록서!B6:B100)</f>
      </c>
      <c r="F11" s="14" t="n">
        <f aca="false">COUNTIF(기능목록서!J6:J100, "완료")</f>
      </c>
      <c r="G11" s="15" t="n">
        <f aca="false">COUNTIF(기능목록서!J6:J100, "개발중") + COUNTIF(기능목록서!J6:J100, "테스트") + COUNTIF(기능목록서!J6:J100, "설계중")</f>
      </c>
      <c r="H11" s="16" t="n">
        <f aca="false">COUNTIF(기능목록서!J6:J100, "미착수") + COUNTIF(기능목록서!J6:J100, "보류")</f>
      </c>
    </row>
    <row r="12" customFormat="false" ht="15" hidden="false" customHeight="true" outlineLevel="0" collapsed="false">
      <c r="B12" s="17" t="s">
        <v>17</v>
      </c>
      <c r="C12" s="18" t="n">
        <f aca="false">COUNTIF(기능목록서!$J$6:$J$100, "완료")</f>
      </c>
    </row>
    <row r="13" customFormat="false" ht="15" hidden="false" customHeight="true" outlineLevel="0" collapsed="false">
      <c r="B13" s="17" t="s">
        <v>18</v>
      </c>
      <c r="C13" s="18" t="n">
        <f aca="false">COUNTIF(기능목록서!$J$6:$J$100, "테스트")</f>
      </c>
    </row>
    <row r="14" customFormat="false" ht="15" hidden="false" customHeight="true" outlineLevel="0" collapsed="false">
      <c r="B14" s="17" t="s">
        <v>19</v>
      </c>
      <c r="C14" s="18" t="n">
        <f aca="false">COUNTIF(기능목록서!$J$6:$J$100, "개발중")</f>
      </c>
    </row>
    <row r="15" customFormat="false" ht="15" hidden="false" customHeight="true" outlineLevel="0" collapsed="false">
      <c r="B15" s="17" t="s">
        <v>20</v>
      </c>
      <c r="C15" s="18" t="n">
        <f aca="false">COUNTIF(기능목록서!$J$6:$J$100, "설계중")</f>
      </c>
    </row>
    <row r="16" customFormat="false" ht="15" hidden="false" customHeight="true" outlineLevel="0" collapsed="false">
      <c r="B16" s="17" t="s">
        <v>21</v>
      </c>
      <c r="C16" s="18" t="n">
        <f aca="false">COUNTIF(기능목록서!$J$6:$J$100, "미착수")</f>
      </c>
    </row>
    <row r="17" customFormat="false" ht="15" hidden="false" customHeight="true" outlineLevel="0" collapsed="false">
      <c r="B17" s="17" t="s">
        <v>22</v>
      </c>
      <c r="C17" s="18" t="n">
        <f aca="false">COUNTIF(기능목록서!$J$6:$J$100, "보류")</f>
      </c>
    </row>
    <row r="19" customFormat="false" ht="15" hidden="false" customHeight="true" outlineLevel="0" collapsed="false">
      <c r="B19" s="7" t="s">
        <v>23</v>
      </c>
      <c r="C19" s="7"/>
    </row>
    <row r="20" customFormat="false" ht="15" hidden="false" customHeight="true" outlineLevel="0" collapsed="false">
      <c r="B20" s="12" t="s">
        <v>24</v>
      </c>
      <c r="C20" s="12" t="s">
        <v>16</v>
      </c>
    </row>
    <row r="21" customFormat="false" ht="15" hidden="false" customHeight="true" outlineLevel="0" collapsed="false">
      <c r="B21" s="19" t="inlineStr">
        <is>
          <t>긴급 (최우선)</t>
        </is>
      </c>
      <c r="C21" s="18" t="n">
        <f aca="false">COUNTIF(기능목록서!$G$6:$G$100, "긴급")</f>
      </c>
    </row>
    <row r="22" customFormat="false" ht="15" hidden="false" customHeight="true" outlineLevel="0" collapsed="false">
      <c r="B22" s="19" t="inlineStr">
        <is>
          <t>상 (높음)</t>
        </is>
      </c>
      <c r="C22" s="18" t="n">
        <f aca="false">COUNTIF(기능목록서!$G$6:$G$100, "상")</f>
      </c>
    </row>
    <row r="23" customFormat="false" ht="15" hidden="false" customHeight="true" outlineLevel="0" collapsed="false">
      <c r="B23" s="19" t="inlineStr">
        <is>
          <t>중 (보통)</t>
        </is>
      </c>
      <c r="C23" s="18" t="n">
        <f aca="false">COUNTIF(기능목록서!$G$6:$G$100, "중")</f>
      </c>
    </row>
    <row r="24" customFormat="false" ht="15" hidden="false" customHeight="true" outlineLevel="0" collapsed="false">
      <c r="B24" s="19" t="inlineStr">
        <is>
          <t>하 (낮음)</t>
        </is>
      </c>
      <c r="C24" s="18" t="n">
        <f aca="false">COUNTIF(기능목록서!$G$6:$G$100, "하")</f>
      </c>
    </row>
  </sheetData>
  <mergeCells count="2">
    <mergeCell ref="B10:C10"/>
    <mergeCell ref="B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F16" activeCellId="0" sqref="F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24"/>
    <col collapsed="false" customWidth="true" hidden="false" outlineLevel="0" max="6" min="6" style="1" width="61.57"/>
    <col collapsed="false" customWidth="true" hidden="false" outlineLevel="0" max="7" min="7" style="1" width="16"/>
    <col collapsed="false" customWidth="true" hidden="false" outlineLevel="0" max="11" min="8" style="1" width="12"/>
    <col collapsed="false" customWidth="true" hidden="false" outlineLevel="0" max="13" min="12" style="1" width="14"/>
    <col collapsed="false" customWidth="true" hidden="false" outlineLevel="0" max="14" min="14" style="1" width="28"/>
  </cols>
  <sheetData>
    <row r="2" customFormat="false" ht="23.25" hidden="false" customHeight="true" outlineLevel="0" collapsed="false">
      <c r="A2" s="2" t="s">
        <v>29</v>
      </c>
    </row>
    <row r="5" customFormat="false" ht="27.75" hidden="false" customHeight="true" outlineLevel="0" collapsed="false">
      <c r="A5" s="20" t="s">
        <v>30</v>
      </c>
      <c r="B5" s="21" t="s">
        <v>31</v>
      </c>
      <c r="C5" s="21" t="s">
        <v>32</v>
      </c>
      <c r="D5" s="21" t="s">
        <v>33</v>
      </c>
      <c r="E5" s="21" t="s">
        <v>34</v>
      </c>
      <c r="F5" s="21" t="s">
        <v>35</v>
      </c>
      <c r="G5" s="21" t="s">
        <v>24</v>
      </c>
      <c r="H5" s="21" t="s">
        <v>36</v>
      </c>
      <c r="I5" s="21" t="s">
        <v>37</v>
      </c>
      <c r="J5" s="21" t="s">
        <v>38</v>
      </c>
      <c r="K5" s="21" t="s">
        <v>39</v>
      </c>
      <c r="L5" s="21" t="s">
        <v>40</v>
      </c>
      <c r="M5" s="21" t="s">
        <v>41</v>
      </c>
      <c r="N5" s="21" t="s">
        <v>42</v>
      </c>
    </row>
    <row r="6" customFormat="false" ht="21.75" hidden="false" customHeight="true" outlineLevel="0" collapsed="false">
      <c r="A6" s="22" t="n">
        <v>1</v>
      </c>
      <c r="B6" s="22" t="inlineStr">
        <is>
          <t>F-AUTH-001</t>
        </is>
      </c>
      <c r="C6" s="23" t="inlineStr">
        <is>
          <t>인증·사용자</t>
        </is>
      </c>
      <c r="D6" s="23" t="inlineStr">
        <is>
          <t>권한 모델</t>
        </is>
      </c>
      <c r="E6" s="24" t="inlineStr">
        <is>
          <t>권한·식별 모델 적용</t>
        </is>
      </c>
      <c r="F6" s="24" t="inlineStr">
        <is>
          <t>소유자 검사(보고류·To-Do), username 식별자·이름 매핑, EXTERNAL 배포 차단, 단계 완료 권한, 비밀번호 변경 강제. L1 10절 ①②④ 결정 구현</t>
        </is>
      </c>
      <c r="G6" s="23" t="inlineStr">
        <is>
          <t>상</t>
        </is>
      </c>
      <c r="H6" s="23" t="inlineStr">
        <is>
          <t>상</t>
        </is>
      </c>
      <c r="I6" s="23" t="inlineStr">
        <is>
          <t>안성진</t>
        </is>
      </c>
      <c r="J6" s="23" t="inlineStr">
        <is>
          <t>테스트</t>
        </is>
      </c>
      <c r="K6" s="25" t="n">
        <v>0.9</v>
      </c>
      <c r="L6" s="22" t="inlineStr">
        <is>
          <t>2026-10-21</t>
        </is>
      </c>
      <c r="M6" s="22"/>
      <c r="N6" s="26" t="inlineStr">
        <is>
          <t>L3 F-AUTH-001. R-001~011 구현·운영 배포 완료(2026-10-21), 수동 검증 5건 미실시</t>
        </is>
      </c>
    </row>
    <row r="7" customFormat="false" ht="21.75" hidden="false" customHeight="true" outlineLevel="0" collapsed="false">
      <c r="A7" s="22" t="n">
        <v>2</v>
      </c>
      <c r="B7" s="22" t="inlineStr">
        <is>
          <t>F-AUTH-002</t>
        </is>
      </c>
      <c r="C7" s="23" t="inlineStr">
        <is>
          <t>인증·사용자</t>
        </is>
      </c>
      <c r="D7" s="23" t="inlineStr">
        <is>
          <t>로그인</t>
        </is>
      </c>
      <c r="E7" s="24" t="inlineStr">
        <is>
          <t>JWT 로그인</t>
        </is>
      </c>
      <c r="F7" s="24" t="inlineStr">
        <is>
          <t>username/password 로 JWT(HS256, 24h) 발급. 비활성 사용자 차단(#19 수정)</t>
        </is>
      </c>
      <c r="G7" s="23" t="inlineStr">
        <is>
          <t>상</t>
        </is>
      </c>
      <c r="H7" s="23"/>
      <c r="I7" s="23"/>
      <c r="J7" s="23" t="inlineStr">
        <is>
          <t>완료</t>
        </is>
      </c>
      <c r="K7" s="25" t="n">
        <v>1</v>
      </c>
      <c r="L7" s="22"/>
      <c r="M7" s="22"/>
      <c r="N7" s="26" t="inlineStr">
        <is>
          <t>운영 중 (현행분석 2026-10-16 기준). 화면 /login</t>
        </is>
      </c>
    </row>
    <row r="8" customFormat="false" ht="21.75" hidden="false" customHeight="true" outlineLevel="0" collapsed="false">
      <c r="A8" s="22" t="n">
        <v>3</v>
      </c>
      <c r="B8" s="22" t="inlineStr">
        <is>
          <t>F-AUTH-003</t>
        </is>
      </c>
      <c r="C8" s="23" t="inlineStr">
        <is>
          <t>인증·사용자</t>
        </is>
      </c>
      <c r="D8" s="23" t="inlineStr">
        <is>
          <t>로그인</t>
        </is>
      </c>
      <c r="E8" s="24" t="inlineStr">
        <is>
          <t>비밀번호 변경·강제 변경</t>
        </is>
      </c>
      <c r="F8" s="24" t="inlineStr">
        <is>
          <t>본인 비밀번호 변경. 초기화 직후 mustChangePassword 면 /change-password 로 강제 이동, API 는 403 PASSWORD_CHANGE_REQUIRED</t>
        </is>
      </c>
      <c r="G8" s="23" t="inlineStr">
        <is>
          <t>상</t>
        </is>
      </c>
      <c r="H8" s="23"/>
      <c r="I8" s="23"/>
      <c r="J8" s="23" t="inlineStr">
        <is>
          <t>완료</t>
        </is>
      </c>
      <c r="K8" s="25" t="n">
        <v>1</v>
      </c>
      <c r="L8" s="22"/>
      <c r="M8" s="22"/>
      <c r="N8" s="26" t="inlineStr">
        <is>
          <t>운영 중. 강제 로직은 F-AUTH-001 R-007·R-010</t>
        </is>
      </c>
    </row>
    <row r="9" customFormat="false" ht="21.75" hidden="false" customHeight="true" outlineLevel="0" collapsed="false">
      <c r="A9" s="22" t="n">
        <v>4</v>
      </c>
      <c r="B9" s="22" t="inlineStr">
        <is>
          <t>F-AUTH-004</t>
        </is>
      </c>
      <c r="C9" s="23" t="inlineStr">
        <is>
          <t>인증·사용자</t>
        </is>
      </c>
      <c r="D9" s="23" t="inlineStr">
        <is>
          <t>계정 관리</t>
        </is>
      </c>
      <c r="E9" s="24" t="inlineStr">
        <is>
          <t>사용자 관리</t>
        </is>
      </c>
      <c r="F9" s="24" t="inlineStr">
        <is>
          <t>계정 생성(임시 비밀번호 메일), 역할 4종(ADMIN·MANAGER·MEMBER·EXTERNAL) 부여, 활성/비활성, 이력 있는 사용자는 비활성화 안내</t>
        </is>
      </c>
      <c r="G9" s="23" t="inlineStr">
        <is>
          <t>상</t>
        </is>
      </c>
      <c r="H9" s="23"/>
      <c r="I9" s="23"/>
      <c r="J9" s="23" t="inlineStr">
        <is>
          <t>완료</t>
        </is>
      </c>
      <c r="K9" s="25" t="n">
        <v>1</v>
      </c>
      <c r="L9" s="22"/>
      <c r="M9" s="22"/>
      <c r="N9" s="26" t="inlineStr">
        <is>
          <t>운영 중. 화면 /admin/users. EXTERNAL=요청자 계정 (L1 ④)</t>
        </is>
      </c>
    </row>
    <row r="10" customFormat="false" ht="21.75" hidden="false" customHeight="true" outlineLevel="0" collapsed="false">
      <c r="A10" s="22" t="n">
        <v>5</v>
      </c>
      <c r="B10" s="22" t="inlineStr">
        <is>
          <t>F-AUTH-005</t>
        </is>
      </c>
      <c r="C10" s="23" t="inlineStr">
        <is>
          <t>인증·사용자</t>
        </is>
      </c>
      <c r="D10" s="23" t="inlineStr">
        <is>
          <t>계정 관리</t>
        </is>
      </c>
      <c r="E10" s="24" t="inlineStr">
        <is>
          <t>협력사 계정 발급 위임</t>
        </is>
      </c>
      <c r="F10" s="24" t="inlineStr">
        <is>
          <t>MEMBER 가 EXTERNAL(요청자) 계정을 직접 발급</t>
        </is>
      </c>
      <c r="G10" s="23" t="inlineStr">
        <is>
          <t>상</t>
        </is>
      </c>
      <c r="H10" s="23"/>
      <c r="I10" s="23"/>
      <c r="J10" s="23" t="inlineStr">
        <is>
          <t>완료</t>
        </is>
      </c>
      <c r="K10" s="25" t="n">
        <v>1</v>
      </c>
      <c r="L10" s="22"/>
      <c r="M10" s="22"/>
      <c r="N10" s="26" t="inlineStr">
        <is>
          <t>운영 중. L1 ④ 결정으로 유지</t>
        </is>
      </c>
    </row>
    <row r="11" customFormat="false" ht="21.75" hidden="false" customHeight="true" outlineLevel="0" collapsed="false">
      <c r="A11" s="22" t="n">
        <v>6</v>
      </c>
      <c r="B11" s="22" t="inlineStr">
        <is>
          <t>F-SYS-001</t>
        </is>
      </c>
      <c r="C11" s="23" t="inlineStr">
        <is>
          <t>운영시스템 마스터</t>
        </is>
      </c>
      <c r="D11" s="23" t="inlineStr">
        <is>
          <t>기준 정보</t>
        </is>
      </c>
      <c r="E11" s="24" t="inlineStr">
        <is>
          <t>운영시스템·서브시스템 관리</t>
        </is>
      </c>
      <c r="F11" s="24" t="inlineStr">
        <is>
          <t>운영시스템(현재 2개, 추가 예정)과 서브시스템 등록·수정, Redmine 프로젝트 키·Webex 룸 연결</t>
        </is>
      </c>
      <c r="G11" s="23" t="inlineStr">
        <is>
          <t>상</t>
        </is>
      </c>
      <c r="H11" s="23"/>
      <c r="I11" s="23"/>
      <c r="J11" s="23" t="inlineStr">
        <is>
          <t>완료</t>
        </is>
      </c>
      <c r="K11" s="25" t="n">
        <v>1</v>
      </c>
      <c r="L11" s="22"/>
      <c r="M11" s="22"/>
      <c r="N11" s="26" t="inlineStr">
        <is>
          <t>운영 중. 화면 /admin/systems, API /api/systems 18개</t>
        </is>
      </c>
    </row>
    <row r="12" customFormat="false" ht="21.75" hidden="false" customHeight="true" outlineLevel="0" collapsed="false">
      <c r="A12" s="22" t="n">
        <v>7</v>
      </c>
      <c r="B12" s="22" t="inlineStr">
        <is>
          <t>F-SYS-002</t>
        </is>
      </c>
      <c r="C12" s="23" t="inlineStr">
        <is>
          <t>운영시스템 마스터</t>
        </is>
      </c>
      <c r="D12" s="23" t="inlineStr">
        <is>
          <t>기준 정보</t>
        </is>
      </c>
      <c r="E12" s="24" t="inlineStr">
        <is>
          <t>서버 관리</t>
        </is>
      </c>
      <c r="F12" s="24" t="inlineStr">
        <is>
          <t>서브시스템별 서버 등록. 배포 단계(DeployStep) 의 원천. 삭제 시 참조 검사(#20 수정)</t>
        </is>
      </c>
      <c r="G12" s="23" t="inlineStr">
        <is>
          <t>상</t>
        </is>
      </c>
      <c r="H12" s="23"/>
      <c r="I12" s="23"/>
      <c r="J12" s="23" t="inlineStr">
        <is>
          <t>완료</t>
        </is>
      </c>
      <c r="K12" s="25" t="n">
        <v>1</v>
      </c>
      <c r="L12" s="22"/>
      <c r="M12" s="22"/>
      <c r="N12" s="26" t="inlineStr">
        <is>
          <t>운영 중</t>
        </is>
      </c>
    </row>
    <row r="13" customFormat="false" ht="21.75" hidden="false" customHeight="true" outlineLevel="0" collapsed="false">
      <c r="A13" s="22" t="n">
        <v>8</v>
      </c>
      <c r="B13" s="22" t="inlineStr">
        <is>
          <t>F-SYS-003</t>
        </is>
      </c>
      <c r="C13" s="23" t="inlineStr">
        <is>
          <t>운영시스템 마스터</t>
        </is>
      </c>
      <c r="D13" s="23" t="inlineStr">
        <is>
          <t>기준 정보</t>
        </is>
      </c>
      <c r="E13" s="24" t="inlineStr">
        <is>
          <t>시스템 담당자 관리</t>
        </is>
      </c>
      <c r="F13" s="24" t="inlineStr">
        <is>
          <t>시스템 × 사용자 담당자 지정. 요청·배포 상태 전환 권한의 근거 (EXTERNAL 은 무시)</t>
        </is>
      </c>
      <c r="G13" s="23" t="inlineStr">
        <is>
          <t>상</t>
        </is>
      </c>
      <c r="H13" s="23"/>
      <c r="I13" s="23"/>
      <c r="J13" s="23" t="inlineStr">
        <is>
          <t>완료</t>
        </is>
      </c>
      <c r="K13" s="25" t="n">
        <v>1</v>
      </c>
      <c r="L13" s="22"/>
      <c r="M13" s="22"/>
      <c r="N13" s="26" t="inlineStr">
        <is>
          <t>운영 중</t>
        </is>
      </c>
    </row>
    <row r="14" customFormat="false" ht="21.75" hidden="false" customHeight="true" outlineLevel="0" collapsed="false">
      <c r="A14" s="22" t="n">
        <v>9</v>
      </c>
      <c r="B14" s="22" t="inlineStr">
        <is>
          <t>F-CR-001</t>
        </is>
      </c>
      <c r="C14" s="23" t="inlineStr">
        <is>
          <t>변경 요청</t>
        </is>
      </c>
      <c r="D14" s="23" t="inlineStr">
        <is>
          <t>등록</t>
        </is>
      </c>
      <c r="E14" s="24" t="inlineStr">
        <is>
          <t>변경 요청 등록·첨부</t>
        </is>
      </c>
      <c r="F14" s="24" t="inlineStr">
        <is>
          <t>운영시스템·서브시스템 선택, 내용 작성, 첨부(Base64 업로드·blob 다운로드). 번호 자동 채번(#4 수정)</t>
        </is>
      </c>
      <c r="G14" s="23" t="inlineStr">
        <is>
          <t>상</t>
        </is>
      </c>
      <c r="H14" s="23"/>
      <c r="I14" s="23"/>
      <c r="J14" s="23" t="inlineStr">
        <is>
          <t>완료</t>
        </is>
      </c>
      <c r="K14" s="25" t="n">
        <v>1</v>
      </c>
      <c r="L14" s="22"/>
      <c r="M14" s="22"/>
      <c r="N14" s="26" t="inlineStr">
        <is>
          <t>운영 중. 화면 /requests. EXTERNAL 은 등록·조회·본인 제출만</t>
        </is>
      </c>
    </row>
    <row r="15" customFormat="false" ht="21.75" hidden="false" customHeight="true" outlineLevel="0" collapsed="false">
      <c r="A15" s="22" t="n">
        <v>10</v>
      </c>
      <c r="B15" s="22" t="inlineStr">
        <is>
          <t>F-CR-002</t>
        </is>
      </c>
      <c r="C15" s="23" t="inlineStr">
        <is>
          <t>변경 요청</t>
        </is>
      </c>
      <c r="D15" s="23" t="inlineStr">
        <is>
          <t>처리</t>
        </is>
      </c>
      <c r="E15" s="24" t="inlineStr">
        <is>
          <t>변경 요청 상태 전환(승인·완료)</t>
        </is>
      </c>
      <c r="F15" s="24" t="inlineStr">
        <is>
          <t>상태 전환표에 따른 승인·반려·완료. 권한 = 해당 시스템 담당자(MEMBER) 또는 ADMIN/MANAGER</t>
        </is>
      </c>
      <c r="G15" s="23" t="inlineStr">
        <is>
          <t>상</t>
        </is>
      </c>
      <c r="H15" s="23"/>
      <c r="I15" s="23"/>
      <c r="J15" s="23" t="inlineStr">
        <is>
          <t>완료</t>
        </is>
      </c>
      <c r="K15" s="25" t="n">
        <v>1</v>
      </c>
      <c r="L15" s="22"/>
      <c r="M15" s="22"/>
      <c r="N15" s="26" t="inlineStr">
        <is>
          <t>운영 중. 고정 테스트 F-FIX-001 에서 도입</t>
        </is>
      </c>
    </row>
    <row r="16" customFormat="false" ht="21.75" hidden="false" customHeight="true" outlineLevel="0" collapsed="false">
      <c r="A16" s="22" t="n">
        <v>11</v>
      </c>
      <c r="B16" s="22" t="inlineStr">
        <is>
          <t>F-CR-003</t>
        </is>
      </c>
      <c r="C16" s="23" t="inlineStr">
        <is>
          <t>변경 요청</t>
        </is>
      </c>
      <c r="D16" s="23" t="inlineStr">
        <is>
          <t>연동</t>
        </is>
      </c>
      <c r="E16" s="24" t="inlineStr">
        <is>
          <t>Redmine 일감 연결</t>
        </is>
      </c>
      <c r="F16" s="24" t="inlineStr">
        <is>
          <t>요청 등록 시 Redmine 일감 생성, 수정 시 일감 갱신. 실패 시 FAILED 기록 후 진행</t>
        </is>
      </c>
      <c r="G16" s="23" t="inlineStr">
        <is>
          <t>상</t>
        </is>
      </c>
      <c r="H16" s="23"/>
      <c r="I16" s="23"/>
      <c r="J16" s="23" t="inlineStr">
        <is>
          <t>완료</t>
        </is>
      </c>
      <c r="K16" s="25" t="n">
        <v>1</v>
      </c>
      <c r="L16" s="22"/>
      <c r="M16" s="22"/>
      <c r="N16" s="26" t="inlineStr">
        <is>
          <t>운영 중. 호출 정책은 변경 요청 영역 소관 (L1 ⑦)</t>
        </is>
      </c>
    </row>
    <row r="17" customFormat="false" ht="21.75" hidden="false" customHeight="true" outlineLevel="0" collapsed="false">
      <c r="A17" s="22" t="n">
        <v>12</v>
      </c>
      <c r="B17" s="22" t="inlineStr">
        <is>
          <t>F-DR-001</t>
        </is>
      </c>
      <c r="C17" s="23" t="inlineStr">
        <is>
          <t>배포 요청</t>
        </is>
      </c>
      <c r="D17" s="23" t="inlineStr">
        <is>
          <t>등록</t>
        </is>
      </c>
      <c r="E17" s="24" t="inlineStr">
        <is>
          <t>배포 요청 등록·일감 선택</t>
        </is>
      </c>
      <c r="F17" s="24" t="inlineStr">
        <is>
          <t>시스템·서브시스템 선택, Redmine 일감 검색·선택, 배포 유형(RELEASE 등), 상위 배포(parentDrId) 연결</t>
        </is>
      </c>
      <c r="G17" s="23" t="inlineStr">
        <is>
          <t>상</t>
        </is>
      </c>
      <c r="H17" s="23"/>
      <c r="I17" s="23"/>
      <c r="J17" s="23" t="inlineStr">
        <is>
          <t>완료</t>
        </is>
      </c>
      <c r="K17" s="25" t="n">
        <v>1</v>
      </c>
      <c r="L17" s="22"/>
      <c r="M17" s="22"/>
      <c r="N17" s="26" t="inlineStr">
        <is>
          <t>운영 중. 화면 /deploys (1,294줄). EXTERNAL 은 메뉴·API 모두 불가</t>
        </is>
      </c>
    </row>
    <row r="18" customFormat="false" ht="21.75" hidden="false" customHeight="true" outlineLevel="0" collapsed="false">
      <c r="A18" s="22" t="n">
        <v>13</v>
      </c>
      <c r="B18" s="22" t="inlineStr">
        <is>
          <t>F-DR-002</t>
        </is>
      </c>
      <c r="C18" s="23" t="inlineStr">
        <is>
          <t>배포 요청</t>
        </is>
      </c>
      <c r="D18" s="23" t="inlineStr">
        <is>
          <t>처리</t>
        </is>
      </c>
      <c r="E18" s="24" t="inlineStr">
        <is>
          <t>배포 요청 승인·상태 전환</t>
        </is>
      </c>
      <c r="F18" s="24" t="inlineStr">
        <is>
          <t>승인·반려·완료. 권한 규칙을 변경 요청과 동일하게(#15 수정), 거부 시 403</t>
        </is>
      </c>
      <c r="G18" s="23" t="inlineStr">
        <is>
          <t>상</t>
        </is>
      </c>
      <c r="H18" s="23"/>
      <c r="I18" s="23"/>
      <c r="J18" s="23" t="inlineStr">
        <is>
          <t>완료</t>
        </is>
      </c>
      <c r="K18" s="25" t="n">
        <v>1</v>
      </c>
      <c r="L18" s="22"/>
      <c r="M18" s="22"/>
      <c r="N18" s="26" t="inlineStr">
        <is>
          <t>운영 중. F-AUTH-001 R-005·R-006 반영</t>
        </is>
      </c>
    </row>
    <row r="19" customFormat="false" ht="21.75" hidden="false" customHeight="true" outlineLevel="0" collapsed="false">
      <c r="A19" s="22" t="n">
        <v>14</v>
      </c>
      <c r="B19" s="22" t="inlineStr">
        <is>
          <t>F-DR-003</t>
        </is>
      </c>
      <c r="C19" s="23" t="inlineStr">
        <is>
          <t>배포 요청</t>
        </is>
      </c>
      <c r="D19" s="23" t="inlineStr">
        <is>
          <t>처리</t>
        </is>
      </c>
      <c r="E19" s="24" t="inlineStr">
        <is>
          <t>서버별 배포 단계 완료</t>
        </is>
      </c>
      <c r="F19" s="24" t="inlineStr">
        <is>
          <t>승인된 배포의 서버별 단계(DeployStep) 완료 처리. 권한 = 해당 시스템 담당자(EXTERNAL 제외) 또는 관리자(#10 수정). 전체 완료 시 Webex 알림</t>
        </is>
      </c>
      <c r="G19" s="23" t="inlineStr">
        <is>
          <t>상</t>
        </is>
      </c>
      <c r="H19" s="23"/>
      <c r="I19" s="23"/>
      <c r="J19" s="23" t="inlineStr">
        <is>
          <t>완료</t>
        </is>
      </c>
      <c r="K19" s="25" t="n">
        <v>1</v>
      </c>
      <c r="L19" s="22"/>
      <c r="M19" s="22"/>
      <c r="N19" s="26" t="inlineStr">
        <is>
          <t>운영 중. F-AUTH-001 R-004</t>
        </is>
      </c>
    </row>
    <row r="20" customFormat="false" ht="21.75" hidden="false" customHeight="true" outlineLevel="0" collapsed="false">
      <c r="A20" s="22" t="n">
        <v>15</v>
      </c>
      <c r="B20" s="22" t="inlineStr">
        <is>
          <t>F-DR-004</t>
        </is>
      </c>
      <c r="C20" s="23" t="inlineStr">
        <is>
          <t>배포 요청</t>
        </is>
      </c>
      <c r="D20" s="23" t="inlineStr">
        <is>
          <t>연동</t>
        </is>
      </c>
      <c r="E20" s="24" t="inlineStr">
        <is>
          <t>Redmine 버전 생성·일감 반영</t>
        </is>
      </c>
      <c r="F20" s="24" t="inlineStr">
        <is>
          <t>배포 승인 시 Redmine 버전 생성, 선택 일감의 fixed_version 갱신</t>
        </is>
      </c>
      <c r="G20" s="23" t="inlineStr">
        <is>
          <t>상</t>
        </is>
      </c>
      <c r="H20" s="23"/>
      <c r="I20" s="23"/>
      <c r="J20" s="23" t="inlineStr">
        <is>
          <t>완료</t>
        </is>
      </c>
      <c r="K20" s="25" t="n">
        <v>1</v>
      </c>
      <c r="L20" s="22"/>
      <c r="M20" s="22"/>
      <c r="N20" s="26" t="inlineStr">
        <is>
          <t>운영 중</t>
        </is>
      </c>
    </row>
    <row r="21" customFormat="false" ht="21.75" hidden="false" customHeight="true" outlineLevel="0" collapsed="false">
      <c r="A21" s="22" t="n">
        <v>16</v>
      </c>
      <c r="B21" s="22" t="inlineStr">
        <is>
          <t>F-DR-005</t>
        </is>
      </c>
      <c r="C21" s="23" t="inlineStr">
        <is>
          <t>배포 요청</t>
        </is>
      </c>
      <c r="D21" s="23" t="inlineStr">
        <is>
          <t>연동</t>
        </is>
      </c>
      <c r="E21" s="24" t="inlineStr">
        <is>
          <t>배포 Webex 알림</t>
        </is>
      </c>
      <c r="F21" s="24" t="inlineStr">
        <is>
          <t>상태 변경·단계 완료·전체 완료 시 시스템 Webex 룸에 알림. 실패는 warn 로 삼킴</t>
        </is>
      </c>
      <c r="G21" s="23" t="inlineStr">
        <is>
          <t>상</t>
        </is>
      </c>
      <c r="H21" s="23"/>
      <c r="I21" s="23"/>
      <c r="J21" s="23" t="inlineStr">
        <is>
          <t>완료</t>
        </is>
      </c>
      <c r="K21" s="25" t="n">
        <v>1</v>
      </c>
      <c r="L21" s="22"/>
      <c r="M21" s="22"/>
      <c r="N21" s="26" t="inlineStr">
        <is>
          <t>운영 중</t>
        </is>
      </c>
    </row>
    <row r="22" customFormat="false" ht="21.75" hidden="false" customHeight="true" outlineLevel="0" collapsed="false">
      <c r="A22" s="22" t="n">
        <v>17</v>
      </c>
      <c r="B22" s="22" t="inlineStr">
        <is>
          <t>F-INV-001</t>
        </is>
      </c>
      <c r="C22" s="23" t="inlineStr">
        <is>
          <t>인벤토리</t>
        </is>
      </c>
      <c r="D22" s="23"/>
      <c r="E22" s="24" t="inlineStr">
        <is>
          <t>수주·제안 아이템 관리</t>
        </is>
      </c>
      <c r="F22" s="24" t="inlineStr">
        <is>
          <t>수주/제안 아이템 등록·수정·삭제·목록. 대시보드 집계 원천</t>
        </is>
      </c>
      <c r="G22" s="23" t="inlineStr">
        <is>
          <t>중</t>
        </is>
      </c>
      <c r="H22" s="23"/>
      <c r="I22" s="23"/>
      <c r="J22" s="23" t="inlineStr">
        <is>
          <t>완료</t>
        </is>
      </c>
      <c r="K22" s="25" t="n">
        <v>1</v>
      </c>
      <c r="L22" s="22"/>
      <c r="M22" s="22"/>
      <c r="N22" s="26" t="inlineStr">
        <is>
          <t>운영 중. 화면 /inventory</t>
        </is>
      </c>
    </row>
    <row r="23" customFormat="false" ht="21.75" hidden="false" customHeight="true" outlineLevel="0" collapsed="false">
      <c r="A23" s="22" t="n">
        <v>18</v>
      </c>
      <c r="B23" s="22" t="inlineStr">
        <is>
          <t>F-MM-001</t>
        </is>
      </c>
      <c r="C23" s="23" t="inlineStr">
        <is>
          <t>회의록</t>
        </is>
      </c>
      <c r="D23" s="23"/>
      <c r="E23" s="24" t="inlineStr">
        <is>
          <t>회의록 작성·공유</t>
        </is>
      </c>
      <c r="F23" s="24" t="inlineStr">
        <is>
          <t>회의일·참석자·내용·액션아이템 기록. 팀 공동 편집(누구나 수정, L1 ① 예외). 작성자 이름 표시</t>
        </is>
      </c>
      <c r="G23" s="23" t="inlineStr">
        <is>
          <t>중</t>
        </is>
      </c>
      <c r="H23" s="23"/>
      <c r="I23" s="23"/>
      <c r="J23" s="23" t="inlineStr">
        <is>
          <t>완료</t>
        </is>
      </c>
      <c r="K23" s="25" t="n">
        <v>1</v>
      </c>
      <c r="L23" s="22"/>
      <c r="M23" s="22"/>
      <c r="N23" s="26" t="inlineStr">
        <is>
          <t>운영 중. 화면 /reports/meeting</t>
        </is>
      </c>
    </row>
    <row r="24" customFormat="false" ht="21.75" hidden="false" customHeight="true" outlineLevel="0" collapsed="false">
      <c r="A24" s="22" t="n">
        <v>19</v>
      </c>
      <c r="B24" s="22" t="inlineStr">
        <is>
          <t>F-WR-001</t>
        </is>
      </c>
      <c r="C24" s="23" t="inlineStr">
        <is>
          <t>주간보고</t>
        </is>
      </c>
      <c r="D24" s="23" t="inlineStr">
        <is>
          <t>작성</t>
        </is>
      </c>
      <c r="E24" s="24" t="inlineStr">
        <is>
          <t>개인 주간보고</t>
        </is>
      </c>
      <c r="F24" s="24" t="inlineStr">
        <is>
          <t>주차별 이번주·다음주 항목 작성, 항목마다 중점과제·업무단위 매핑. 수정·삭제·단건 조회는 작성자 또는 관리자</t>
        </is>
      </c>
      <c r="G24" s="23" t="inlineStr">
        <is>
          <t>중</t>
        </is>
      </c>
      <c r="H24" s="23"/>
      <c r="I24" s="23"/>
      <c r="J24" s="23" t="inlineStr">
        <is>
          <t>완료</t>
        </is>
      </c>
      <c r="K24" s="25" t="n">
        <v>1</v>
      </c>
      <c r="L24" s="22"/>
      <c r="M24" s="22"/>
      <c r="N24" s="26" t="inlineStr">
        <is>
          <t>운영 중. 화면 /reports/weekly (1,141줄). F-AUTH-001 R-001·R-009</t>
        </is>
      </c>
    </row>
    <row r="25" customFormat="false" ht="21.75" hidden="false" customHeight="true" outlineLevel="0" collapsed="false">
      <c r="A25" s="22" t="n">
        <v>20</v>
      </c>
      <c r="B25" s="22" t="inlineStr">
        <is>
          <t>F-WR-002</t>
        </is>
      </c>
      <c r="C25" s="23" t="inlineStr">
        <is>
          <t>주간보고</t>
        </is>
      </c>
      <c r="D25" s="23" t="inlineStr">
        <is>
          <t>작성</t>
        </is>
      </c>
      <c r="E25" s="24" t="inlineStr">
        <is>
          <t>통합 주간보고</t>
        </is>
      </c>
      <c r="F25" s="24" t="inlineStr">
        <is>
          <t>개인 보고를 모아 팀 통합 보고 생성·수정 (ADMIN/MANAGER 전용). 인쇄 화면 포함</t>
        </is>
      </c>
      <c r="G25" s="23" t="inlineStr">
        <is>
          <t>중</t>
        </is>
      </c>
      <c r="H25" s="23"/>
      <c r="I25" s="23"/>
      <c r="J25" s="23" t="inlineStr">
        <is>
          <t>완료</t>
        </is>
      </c>
      <c r="K25" s="25" t="n">
        <v>1</v>
      </c>
      <c r="L25" s="22"/>
      <c r="M25" s="22"/>
      <c r="N25" s="26" t="inlineStr">
        <is>
          <t>운영 중. 인쇄 화면은 SDK 미적용 잔여</t>
        </is>
      </c>
    </row>
    <row r="26" customFormat="false" ht="21.75" hidden="false" customHeight="true" outlineLevel="0" collapsed="false">
      <c r="A26" s="22" t="n">
        <v>21</v>
      </c>
      <c r="B26" s="22" t="inlineStr">
        <is>
          <t>F-WR-003</t>
        </is>
      </c>
      <c r="C26" s="23" t="inlineStr">
        <is>
          <t>주간보고</t>
        </is>
      </c>
      <c r="D26" s="23" t="inlineStr">
        <is>
          <t>알림</t>
        </is>
      </c>
      <c r="E26" s="24" t="inlineStr">
        <is>
          <t>주간보고 미제출 리마인더</t>
        </is>
      </c>
      <c r="F26" s="24" t="inlineStr">
        <is>
          <t>스케줄러가 미제출자에게 Webex DM 발송</t>
        </is>
      </c>
      <c r="G26" s="23" t="inlineStr">
        <is>
          <t>중</t>
        </is>
      </c>
      <c r="H26" s="23"/>
      <c r="I26" s="23"/>
      <c r="J26" s="23" t="inlineStr">
        <is>
          <t>완료</t>
        </is>
      </c>
      <c r="K26" s="25" t="n">
        <v>1</v>
      </c>
      <c r="L26" s="22"/>
      <c r="M26" s="22"/>
      <c r="N26" s="26" t="inlineStr">
        <is>
          <t>운영 중. WeeklyReportReminderScheduler</t>
        </is>
      </c>
    </row>
    <row r="27" customFormat="false" ht="21.75" hidden="false" customHeight="true" outlineLevel="0" collapsed="false">
      <c r="A27" s="22" t="n">
        <v>22</v>
      </c>
      <c r="B27" s="22" t="inlineStr">
        <is>
          <t>F-WR-004</t>
        </is>
      </c>
      <c r="C27" s="23" t="inlineStr">
        <is>
          <t>주간보고</t>
        </is>
      </c>
      <c r="D27" s="23" t="inlineStr">
        <is>
          <t>연동</t>
        </is>
      </c>
      <c r="E27" s="24" t="inlineStr">
        <is>
          <t>주간보고 ↔ To-Do 연동</t>
        </is>
      </c>
      <c r="F27" s="24" t="inlineStr">
        <is>
          <t>To-Do 작업 로그(workLogs)에서 이번 주 기록을 가져와 중점과제별로 매핑. 주간보고는 매핑·코멘트 위주, 실제 진행은 To-Do 로 관리</t>
        </is>
      </c>
      <c r="G27" s="23" t="inlineStr">
        <is>
          <t>중</t>
        </is>
      </c>
      <c r="H27" s="23"/>
      <c r="I27" s="23"/>
      <c r="J27" s="23" t="inlineStr">
        <is>
          <t>미착수</t>
        </is>
      </c>
      <c r="K27" s="25" t="n">
        <v>0</v>
      </c>
      <c r="L27" s="22"/>
      <c r="M27" s="22"/>
      <c r="N27" s="26" t="inlineStr">
        <is>
          <t>HANDOVER 다음 작업 후보 2. 설계 메모만 있고 L2·L3 없음 → 첫 L2(A-06-2) 작성 대상</t>
        </is>
      </c>
    </row>
    <row r="28" customFormat="false" ht="21.75" hidden="false" customHeight="true" outlineLevel="0" collapsed="false">
      <c r="A28" s="22" t="n">
        <v>23</v>
      </c>
      <c r="B28" s="22" t="inlineStr">
        <is>
          <t>F-DC-001</t>
        </is>
      </c>
      <c r="C28" s="23" t="inlineStr">
        <is>
          <t>일일점검</t>
        </is>
      </c>
      <c r="D28" s="23"/>
      <c r="E28" s="24" t="inlineStr">
        <is>
          <t>운영시스템 일일점검 보고</t>
        </is>
      </c>
      <c r="F28" s="24" t="inlineStr">
        <is>
          <t>시스템 담당자가 일자별 점검 상태(3종) 수동 보고. 수정·삭제는 보고자 또는 관리자. 경로 중복 결함(#1) 수정</t>
        </is>
      </c>
      <c r="G28" s="23" t="inlineStr">
        <is>
          <t>중</t>
        </is>
      </c>
      <c r="H28" s="23"/>
      <c r="I28" s="23"/>
      <c r="J28" s="23" t="inlineStr">
        <is>
          <t>완료</t>
        </is>
      </c>
      <c r="K28" s="25" t="n">
        <v>1</v>
      </c>
      <c r="L28" s="22"/>
      <c r="M28" s="22"/>
      <c r="N28" s="26" t="inlineStr">
        <is>
          <t>운영 중. 화면 /reports/daily</t>
        </is>
      </c>
    </row>
    <row r="29" customFormat="false" ht="21.75" hidden="false" customHeight="true" outlineLevel="0" collapsed="false">
      <c r="A29" s="22" t="n">
        <v>24</v>
      </c>
      <c r="B29" s="22" t="inlineStr">
        <is>
          <t>F-DC-002</t>
        </is>
      </c>
      <c r="C29" s="23" t="inlineStr">
        <is>
          <t>일일점검</t>
        </is>
      </c>
      <c r="D29" s="23"/>
      <c r="E29" s="24" t="inlineStr">
        <is>
          <t>일일점검 자동화</t>
        </is>
      </c>
      <c r="F29" s="24" t="inlineStr">
        <is>
          <t>시스템 상태를 자동 수집해 점검 보고 생성 (CLAUDE.md 업무 요건 5 '향후 자동화 예정')</t>
        </is>
      </c>
      <c r="G29" s="23" t="inlineStr">
        <is>
          <t>중</t>
        </is>
      </c>
      <c r="H29" s="23"/>
      <c r="I29" s="23"/>
      <c r="J29" s="23" t="inlineStr">
        <is>
          <t>미착수</t>
        </is>
      </c>
      <c r="K29" s="25" t="n">
        <v>0</v>
      </c>
      <c r="L29" s="22"/>
      <c r="M29" s="22"/>
      <c r="N29" s="26" t="inlineStr">
        <is>
          <t>요건 문장만 존재. L2 없음</t>
        </is>
      </c>
    </row>
    <row r="30" customFormat="false" ht="21.75" hidden="false" customHeight="true" outlineLevel="0" collapsed="false">
      <c r="A30" s="22" t="n">
        <v>25</v>
      </c>
      <c r="B30" s="22" t="inlineStr">
        <is>
          <t>F-FIN-001</t>
        </is>
      </c>
      <c r="C30" s="23" t="inlineStr">
        <is>
          <t>손익</t>
        </is>
      </c>
      <c r="D30" s="23"/>
      <c r="E30" s="24" t="inlineStr">
        <is>
          <t>월별 매출·지출 관리</t>
        </is>
      </c>
      <c r="F30" s="24" t="inlineStr">
        <is>
          <t>월별 매출/지출 기록 등록·수정, 월 집계(MonthlySummary) 조회. 대시보드 집계 원천</t>
        </is>
      </c>
      <c r="G30" s="23" t="inlineStr">
        <is>
          <t>중</t>
        </is>
      </c>
      <c r="H30" s="23"/>
      <c r="I30" s="23"/>
      <c r="J30" s="23" t="inlineStr">
        <is>
          <t>완료</t>
        </is>
      </c>
      <c r="K30" s="25" t="n">
        <v>1</v>
      </c>
      <c r="L30" s="22"/>
      <c r="M30" s="22"/>
      <c r="N30" s="26" t="inlineStr">
        <is>
          <t>운영 중. 화면 /finance</t>
        </is>
      </c>
    </row>
    <row r="31" customFormat="false" ht="21.75" hidden="false" customHeight="true" outlineLevel="0" collapsed="false">
      <c r="A31" s="22" t="n">
        <v>26</v>
      </c>
      <c r="B31" s="22" t="inlineStr">
        <is>
          <t>F-TASK-001</t>
        </is>
      </c>
      <c r="C31" s="23" t="inlineStr">
        <is>
          <t>과제·업무단위·To-Do</t>
        </is>
      </c>
      <c r="D31" s="23" t="inlineStr">
        <is>
          <t>중점과제</t>
        </is>
      </c>
      <c r="E31" s="24" t="inlineStr">
        <is>
          <t>연간 중점과제 관리</t>
        </is>
      </c>
      <c r="F31" s="24" t="inlineStr">
        <is>
          <t>연도별 과제, 수준(팀·담당부서·담당자), 분기별 계획·실적·달성률·사유. ADMIN/MANAGER 전용</t>
        </is>
      </c>
      <c r="G31" s="23" t="inlineStr">
        <is>
          <t>중</t>
        </is>
      </c>
      <c r="H31" s="23"/>
      <c r="I31" s="23"/>
      <c r="J31" s="23" t="inlineStr">
        <is>
          <t>완료</t>
        </is>
      </c>
      <c r="K31" s="25" t="n">
        <v>1</v>
      </c>
      <c r="L31" s="22"/>
      <c r="M31" s="22"/>
      <c r="N31" s="26" t="inlineStr">
        <is>
          <t>운영 중. 화면 /key-tasks</t>
        </is>
      </c>
    </row>
    <row r="32" customFormat="false" ht="21.75" hidden="false" customHeight="true" outlineLevel="0" collapsed="false">
      <c r="A32" s="22" t="n">
        <v>27</v>
      </c>
      <c r="B32" s="22" t="inlineStr">
        <is>
          <t>F-TASK-002</t>
        </is>
      </c>
      <c r="C32" s="23" t="inlineStr">
        <is>
          <t>과제·업무단위·To-Do</t>
        </is>
      </c>
      <c r="D32" s="23" t="inlineStr">
        <is>
          <t>업무단위</t>
        </is>
      </c>
      <c r="E32" s="24" t="inlineStr">
        <is>
          <t>업무단위 관리</t>
        </is>
      </c>
      <c r="F32" s="24" t="inlineStr">
        <is>
          <t>과제 하위 업무단위(유형 5·상태 3). 팀 공용(누구나 수정, L1 ① 예외). 중점과제 화면 탭</t>
        </is>
      </c>
      <c r="G32" s="23" t="inlineStr">
        <is>
          <t>중</t>
        </is>
      </c>
      <c r="H32" s="23"/>
      <c r="I32" s="23"/>
      <c r="J32" s="23" t="inlineStr">
        <is>
          <t>완료</t>
        </is>
      </c>
      <c r="K32" s="25" t="n">
        <v>1</v>
      </c>
      <c r="L32" s="22"/>
      <c r="M32" s="22"/>
      <c r="N32" s="26" t="inlineStr">
        <is>
          <t>운영 중</t>
        </is>
      </c>
    </row>
    <row r="33" customFormat="false" ht="21.75" hidden="false" customHeight="true" outlineLevel="0" collapsed="false">
      <c r="A33" s="22" t="n">
        <v>28</v>
      </c>
      <c r="B33" s="22" t="inlineStr">
        <is>
          <t>F-TASK-003</t>
        </is>
      </c>
      <c r="C33" s="23" t="inlineStr">
        <is>
          <t>과제·업무단위·To-Do</t>
        </is>
      </c>
      <c r="D33" s="23" t="inlineStr">
        <is>
          <t>To-Do</t>
        </is>
      </c>
      <c r="E33" s="24" t="inlineStr">
        <is>
          <t>To-Do 칸반</t>
        </is>
      </c>
      <c r="F33" s="24" t="inlineStr">
        <is>
          <t>상태 5·우선순위 3, 체크 항목·링크·협업자·작업 로그(JSON). 담당자·협업자 또는 관리자만 수정, 협업자는 읽기. 과제별 필터</t>
        </is>
      </c>
      <c r="G33" s="23" t="inlineStr">
        <is>
          <t>중</t>
        </is>
      </c>
      <c r="H33" s="23"/>
      <c r="I33" s="23"/>
      <c r="J33" s="23" t="inlineStr">
        <is>
          <t>완료</t>
        </is>
      </c>
      <c r="K33" s="25" t="n">
        <v>1</v>
      </c>
      <c r="L33" s="22"/>
      <c r="M33" s="22"/>
      <c r="N33" s="26" t="inlineStr">
        <is>
          <t>운영 중. 화면 /todos (721줄). sourceId 는 L1 ⑥ 결정으로 폐기(분류 태그만 유지)</t>
        </is>
      </c>
    </row>
    <row r="34" customFormat="false" ht="21.75" hidden="false" customHeight="true" outlineLevel="0" collapsed="false">
      <c r="A34" s="22" t="n">
        <v>29</v>
      </c>
      <c r="B34" s="22" t="inlineStr">
        <is>
          <t>F-TASK-004</t>
        </is>
      </c>
      <c r="C34" s="23" t="inlineStr">
        <is>
          <t>과제·업무단위·To-Do</t>
        </is>
      </c>
      <c r="D34" s="23" t="inlineStr">
        <is>
          <t>실적</t>
        </is>
      </c>
      <c r="E34" s="24" t="inlineStr">
        <is>
          <t>과제 실적 집계 탭</t>
        </is>
      </c>
      <c r="F34" s="24" t="inlineStr">
        <is>
          <t>담당자 → 과제 → 업무단위 → To-Do 사슬로 실적 집계</t>
        </is>
      </c>
      <c r="G34" s="23" t="inlineStr">
        <is>
          <t>중</t>
        </is>
      </c>
      <c r="H34" s="23"/>
      <c r="I34" s="23"/>
      <c r="J34" s="23" t="inlineStr">
        <is>
          <t>완료</t>
        </is>
      </c>
      <c r="K34" s="25" t="n">
        <v>1</v>
      </c>
      <c r="L34" s="22"/>
      <c r="M34" s="22"/>
      <c r="N34" s="26" t="inlineStr">
        <is>
          <t>운영 중. PerformanceTab</t>
        </is>
      </c>
    </row>
    <row r="35" customFormat="false" ht="21.75" hidden="false" customHeight="true" outlineLevel="0" collapsed="false">
      <c r="A35" s="22" t="n">
        <v>30</v>
      </c>
      <c r="B35" s="22" t="inlineStr">
        <is>
          <t>F-MENU-001</t>
        </is>
      </c>
      <c r="C35" s="23" t="inlineStr">
        <is>
          <t>메뉴 권한</t>
        </is>
      </c>
      <c r="D35" s="23"/>
      <c r="E35" s="24" t="inlineStr">
        <is>
          <t>역할별 메뉴 권한</t>
        </is>
      </c>
      <c r="F35" s="24" t="inlineStr">
        <is>
          <t>역할 4 × 메뉴 키 12 매트릭스 조회·수정(PUT 은 ADMIN/MANAGER). 사용자 관리 화면 탭. 라우트 가드는 PrivateRoute 1개</t>
        </is>
      </c>
      <c r="G35" s="23" t="inlineStr">
        <is>
          <t>중</t>
        </is>
      </c>
      <c r="H35" s="23"/>
      <c r="I35" s="23"/>
      <c r="J35" s="23" t="inlineStr">
        <is>
          <t>완료</t>
        </is>
      </c>
      <c r="K35" s="25" t="n">
        <v>1</v>
      </c>
      <c r="L35" s="22"/>
      <c r="M35" s="22"/>
      <c r="N35" s="26" t="inlineStr">
        <is>
          <t>운영 중. 조회 실패 시 전부 노출은 보류(#16)</t>
        </is>
      </c>
    </row>
    <row r="36" customFormat="false" ht="21.75" hidden="false" customHeight="true" outlineLevel="0" collapsed="false">
      <c r="A36" s="22" t="n">
        <v>31</v>
      </c>
      <c r="B36" s="22" t="inlineStr">
        <is>
          <t>F-INTG-001</t>
        </is>
      </c>
      <c r="C36" s="23" t="inlineStr">
        <is>
          <t>알림·외부 연동</t>
        </is>
      </c>
      <c r="D36" s="23" t="inlineStr">
        <is>
          <t>공지</t>
        </is>
      </c>
      <c r="E36" s="24" t="inlineStr">
        <is>
          <t>Webex 공지 발송</t>
        </is>
      </c>
      <c r="F36" s="24" t="inlineStr">
        <is>
          <t>관리자가 기본 룸 공지 또는 사용자 DM 발송</t>
        </is>
      </c>
      <c r="G36" s="23" t="inlineStr">
        <is>
          <t>중</t>
        </is>
      </c>
      <c r="H36" s="23"/>
      <c r="I36" s="23"/>
      <c r="J36" s="23" t="inlineStr">
        <is>
          <t>완료</t>
        </is>
      </c>
      <c r="K36" s="25" t="n">
        <v>1</v>
      </c>
      <c r="L36" s="22"/>
      <c r="M36" s="22"/>
      <c r="N36" s="26" t="inlineStr">
        <is>
          <t>운영 중. 화면 /admin/notifications</t>
        </is>
      </c>
    </row>
    <row r="37" customFormat="false" ht="21.75" hidden="false" customHeight="true" outlineLevel="0" collapsed="false">
      <c r="A37" s="22" t="n">
        <v>32</v>
      </c>
      <c r="B37" s="22" t="inlineStr">
        <is>
          <t>F-INTG-002</t>
        </is>
      </c>
      <c r="C37" s="23" t="inlineStr">
        <is>
          <t>알림·외부 연동</t>
        </is>
      </c>
      <c r="D37" s="23" t="inlineStr">
        <is>
          <t>어댑터</t>
        </is>
      </c>
      <c r="E37" s="24" t="inlineStr">
        <is>
          <t>Redmine·Webex·메일 클라이언트</t>
        </is>
      </c>
      <c r="F37" s="24" t="inlineStr">
        <is>
          <t>Redmine 일감 검색·생성·수정·버전, Webex 룸/DM, SMTP 메일. '언제 보내나'는 호출 영역 요건 (L1 ⑦)</t>
        </is>
      </c>
      <c r="G37" s="23" t="inlineStr">
        <is>
          <t>중</t>
        </is>
      </c>
      <c r="H37" s="23"/>
      <c r="I37" s="23"/>
      <c r="J37" s="23" t="inlineStr">
        <is>
          <t>완료</t>
        </is>
      </c>
      <c r="K37" s="25" t="n">
        <v>1</v>
      </c>
      <c r="L37" s="22"/>
      <c r="M37" s="22"/>
      <c r="N37" s="26" t="inlineStr">
        <is>
          <t>운영 중. 기존 문제: API 키 쿼리스트링, trust-all TLS, 메일 실패 로그 없음(#5 수정)</t>
        </is>
      </c>
    </row>
    <row r="38" customFormat="false" ht="21.75" hidden="false" customHeight="true" outlineLevel="0" collapsed="false">
      <c r="A38" s="22" t="n">
        <v>33</v>
      </c>
      <c r="B38" s="22" t="inlineStr">
        <is>
          <t>F-INTG-003</t>
        </is>
      </c>
      <c r="C38" s="23" t="inlineStr">
        <is>
          <t>알림·외부 연동</t>
        </is>
      </c>
      <c r="D38" s="23" t="inlineStr">
        <is>
          <t>연동</t>
        </is>
      </c>
      <c r="E38" s="24" t="inlineStr">
        <is>
          <t>레드마인 일감 관리 포탈 UI 대체</t>
        </is>
      </c>
      <c r="F38" s="24" t="inlineStr">
        <is>
          <t>레드마인 웹 대신 포탈에 일감 관리 + 간트 화면 구현, 데이터는 레드마인 DB 유지. API 경유 vs DB 직접 미결정</t>
        </is>
      </c>
      <c r="G38" s="23" t="inlineStr">
        <is>
          <t>하</t>
        </is>
      </c>
      <c r="H38" s="23" t="inlineStr">
        <is>
          <t>상</t>
        </is>
      </c>
      <c r="I38" s="23"/>
      <c r="J38" s="23" t="inlineStr">
        <is>
          <t>보류</t>
        </is>
      </c>
      <c r="K38" s="25" t="n">
        <v>0</v>
      </c>
      <c r="L38" s="22"/>
      <c r="M38" s="22"/>
      <c r="N38" s="26" t="inlineStr">
        <is>
          <t>2026-10-14 사용자 보류. 결정 시 L1 1.3 Out of Scope(Redmine 대체 안 함) 개정 필요</t>
        </is>
      </c>
    </row>
    <row r="39" customFormat="false" ht="21.75" hidden="false" customHeight="true" outlineLevel="0" collapsed="false">
      <c r="A39" s="22" t="n">
        <v>34</v>
      </c>
      <c r="B39" s="22" t="inlineStr">
        <is>
          <t>F-AI-001</t>
        </is>
      </c>
      <c r="C39" s="23" t="inlineStr">
        <is>
          <t>AI 기능</t>
        </is>
      </c>
      <c r="D39" s="23"/>
      <c r="E39" s="24" t="inlineStr">
        <is>
          <t>AI 어시스턴트 채팅·에이전트</t>
        </is>
      </c>
      <c r="F39" s="24" t="inlineStr">
        <is>
          <t>AI 서버(사설망) 채팅·에이전트 화면. 포탈은 화면 + 프록시 설정까지 (L1 ⑧)</t>
        </is>
      </c>
      <c r="G39" s="23" t="inlineStr">
        <is>
          <t>하</t>
        </is>
      </c>
      <c r="H39" s="23"/>
      <c r="I39" s="23"/>
      <c r="J39" s="23" t="inlineStr">
        <is>
          <t>보류</t>
        </is>
      </c>
      <c r="K39" s="25" t="n">
        <v>0.8</v>
      </c>
      <c r="L39" s="22"/>
      <c r="M39" s="22"/>
      <c r="N39" s="26" t="inlineStr">
        <is>
          <t>사내망 전용·운영 미노출 (VITE_AI_ENABLED 미설정, L1 ③). 화면 /ai (770줄)</t>
        </is>
      </c>
    </row>
    <row r="40" customFormat="false" ht="21.75" hidden="false" customHeight="true" outlineLevel="0" collapsed="false">
      <c r="A40" s="22" t="n">
        <v>35</v>
      </c>
      <c r="B40" s="22" t="inlineStr">
        <is>
          <t>F-AI-002</t>
        </is>
      </c>
      <c r="C40" s="23" t="inlineStr">
        <is>
          <t>AI 기능</t>
        </is>
      </c>
      <c r="D40" s="23"/>
      <c r="E40" s="24" t="inlineStr">
        <is>
          <t>RAG 문서·지식베이스·프롬프트 화면</t>
        </is>
      </c>
      <c r="F40" s="24" t="inlineStr">
        <is>
          <t>AI 서버의 문서 적재·지식베이스·프롬프트 관리 화면</t>
        </is>
      </c>
      <c r="G40" s="23" t="inlineStr">
        <is>
          <t>하</t>
        </is>
      </c>
      <c r="H40" s="23"/>
      <c r="I40" s="23"/>
      <c r="J40" s="23" t="inlineStr">
        <is>
          <t>보류</t>
        </is>
      </c>
      <c r="K40" s="25" t="n">
        <v>0.8</v>
      </c>
      <c r="L40" s="22"/>
      <c r="M40" s="22"/>
      <c r="N40" s="26" t="inlineStr">
        <is>
          <t>운영 미노출. /ai/documents, /ai/knowledge, /ai/prompts</t>
        </is>
      </c>
    </row>
    <row r="41" customFormat="false" ht="21.75" hidden="false" customHeight="true" outlineLevel="0" collapsed="false">
      <c r="A41" s="22" t="n">
        <v>36</v>
      </c>
      <c r="B41" s="22" t="inlineStr">
        <is>
          <t>F-AI-003</t>
        </is>
      </c>
      <c r="C41" s="23" t="inlineStr">
        <is>
          <t>AI 기능</t>
        </is>
      </c>
      <c r="D41" s="23"/>
      <c r="E41" s="24" t="inlineStr">
        <is>
          <t>AI 운영 노출(프록시 분기 + 인증)</t>
        </is>
      </c>
      <c r="F41" s="24" t="inlineStr">
        <is>
          <t>운영 nginx 에 AI 경로 분기, AI 서버 JWT 검증(C 방식), FE 헤더 전달</t>
        </is>
      </c>
      <c r="G41" s="23" t="inlineStr">
        <is>
          <t>하</t>
        </is>
      </c>
      <c r="H41" s="23" t="inlineStr">
        <is>
          <t>상</t>
        </is>
      </c>
      <c r="I41" s="23"/>
      <c r="J41" s="23" t="inlineStr">
        <is>
          <t>보류</t>
        </is>
      </c>
      <c r="K41" s="25" t="n">
        <v>0</v>
      </c>
      <c r="L41" s="22"/>
      <c r="M41" s="22"/>
      <c r="N41" s="26" t="inlineStr">
        <is>
          <t>착수 트리거: RAG 민감 자료 적재 또는 운영 노출 요구. AI 서버 L1 (⑧)</t>
        </is>
      </c>
    </row>
    <row r="42" customFormat="false" ht="21.75" hidden="false" customHeight="true" outlineLevel="0" collapsed="false">
      <c r="A42" s="22" t="n">
        <v>37</v>
      </c>
      <c r="B42" s="22" t="inlineStr">
        <is>
          <t>F-DASH-001</t>
        </is>
      </c>
      <c r="C42" s="23" t="inlineStr">
        <is>
          <t>대시보드</t>
        </is>
      </c>
      <c r="D42" s="23"/>
      <c r="E42" s="24" t="inlineStr">
        <is>
          <t>종합 대시보드</t>
        </is>
      </c>
      <c r="F42" s="24" t="inlineStr">
        <is>
          <t>변경·배포 요청, 운영시스템, 회의록, 일일점검, 인벤토리, 손익 집계 (타 영역 API 7개 호출)</t>
        </is>
      </c>
      <c r="G42" s="23" t="inlineStr">
        <is>
          <t>중</t>
        </is>
      </c>
      <c r="H42" s="23"/>
      <c r="I42" s="23"/>
      <c r="J42" s="23" t="inlineStr">
        <is>
          <t>완료</t>
        </is>
      </c>
      <c r="K42" s="25" t="n">
        <v>1</v>
      </c>
      <c r="L42" s="22"/>
      <c r="M42" s="22"/>
      <c r="N42" s="26" t="inlineStr">
        <is>
          <t>운영 중. 화면 / (415줄)</t>
        </is>
      </c>
    </row>
    <row r="43" customFormat="false" ht="21.75" hidden="false" customHeight="true" outlineLevel="0" collapsed="false">
      <c r="A43" s="22" t="n">
        <v>38</v>
      </c>
      <c r="B43" s="22" t="inlineStr">
        <is>
          <t>F-FIX-001</t>
        </is>
      </c>
      <c r="C43" s="23" t="inlineStr">
        <is>
          <t>공통(횡단)</t>
        </is>
      </c>
      <c r="D43" s="23" t="inlineStr">
        <is>
          <t>결함 수정</t>
        </is>
      </c>
      <c r="E43" s="24" t="inlineStr">
        <is>
          <t>현행 결함 일괄 수정 (6건)</t>
        </is>
      </c>
      <c r="F43" s="24" t="inlineStr">
        <is>
          <t>현행분석서 12절 결함 #1 일일점검 경로, #4 채번, #5 메일 실패 로그, #19 비활성 차단, #20 서버 삭제 검사, #22 사용자 삭제 안내. BE 첫 테스트 7케이스 도입</t>
        </is>
      </c>
      <c r="G43" s="23" t="inlineStr">
        <is>
          <t>상</t>
        </is>
      </c>
      <c r="H43" s="23" t="inlineStr">
        <is>
          <t>하</t>
        </is>
      </c>
      <c r="I43" s="23" t="inlineStr">
        <is>
          <t>안성진</t>
        </is>
      </c>
      <c r="J43" s="23" t="inlineStr">
        <is>
          <t>완료</t>
        </is>
      </c>
      <c r="K43" s="25" t="n">
        <v>1</v>
      </c>
      <c r="L43" s="22" t="inlineStr">
        <is>
          <t>2026-10-20</t>
        </is>
      </c>
      <c r="M43" s="22" t="inlineStr">
        <is>
          <t>2026-10-20</t>
        </is>
      </c>
      <c r="N43" s="26" t="inlineStr">
        <is>
          <t>L3 F-FIX-001, REQ-2026-001. 운영 배포·검증 완료 (app.jar 교체 함정 기록)</t>
        </is>
      </c>
    </row>
  </sheetData>
  <autoFilter ref="A5:N43"/>
  <dataValidations count="4">
    <dataValidation allowBlank="true" errorStyle="stop" operator="between" showDropDown="false" showErrorMessage="false" showInputMessage="false" sqref="G6:G100" type="list">
      <formula1>'설정 및 코드'!$B$2:$B$5</formula1>
      <formula2>0</formula2>
    </dataValidation>
    <dataValidation allowBlank="true" errorStyle="stop" operator="between" showDropDown="false" showErrorMessage="false" showInputMessage="false" sqref="H6:H100" type="list">
      <formula1>'설정 및 코드'!$D$2:$D$4</formula1>
      <formula2>0</formula2>
    </dataValidation>
    <dataValidation allowBlank="true" errorStyle="stop" operator="between" showDropDown="false" showErrorMessage="false" showInputMessage="false" sqref="J6:J100" type="list">
      <formula1>'설정 및 코드'!$C$2:$C$7</formula1>
      <formula2>0</formula2>
    </dataValidation>
    <dataValidation allowBlank="true" errorStyle="stop" operator="between" showDropDown="false" showErrorMessage="false" showInputMessage="false" sqref="C6:C100" type="list">
      <formula1>'설정 및 코드'!$E$2:$E$16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50"/>
    <col collapsed="false" customWidth="true" hidden="false" outlineLevel="0" max="7" min="7" style="1" width="36"/>
    <col collapsed="false" customWidth="true" hidden="false" outlineLevel="0" max="10" min="8" style="1" width="12"/>
    <col collapsed="false" customWidth="true" hidden="false" outlineLevel="0" max="11" min="11" style="1" width="28"/>
  </cols>
  <sheetData>
    <row r="2" customFormat="false" ht="23.25" hidden="false" customHeight="true" outlineLevel="0" collapsed="false">
      <c r="A2" s="2" t="s">
        <v>148</v>
      </c>
    </row>
    <row r="3" customFormat="false" ht="15" hidden="false" customHeight="true" outlineLevel="0" collapsed="false">
      <c r="A3" s="32" t="s">
        <v>149</v>
      </c>
    </row>
    <row r="5" customFormat="false" ht="27.75" hidden="false" customHeight="true" outlineLevel="0" collapsed="false">
      <c r="A5" s="33" t="s">
        <v>30</v>
      </c>
      <c r="B5" s="12" t="s">
        <v>150</v>
      </c>
      <c r="C5" s="12" t="s">
        <v>151</v>
      </c>
      <c r="D5" s="12" t="s">
        <v>152</v>
      </c>
      <c r="E5" s="12" t="s">
        <v>153</v>
      </c>
      <c r="F5" s="12" t="s">
        <v>154</v>
      </c>
      <c r="G5" s="12" t="s">
        <v>155</v>
      </c>
      <c r="H5" s="12" t="s">
        <v>156</v>
      </c>
      <c r="I5" s="12" t="s">
        <v>157</v>
      </c>
      <c r="J5" s="12" t="s">
        <v>158</v>
      </c>
      <c r="K5" s="12" t="s">
        <v>159</v>
      </c>
    </row>
    <row r="6" customFormat="false" ht="21.75" hidden="false" customHeight="true" outlineLevel="0" collapsed="false">
      <c r="A6" s="23" t="n">
        <f aca="false">IF(B6="","",ROW()-5)</f>
        <v>1</v>
      </c>
      <c r="B6" s="22" t="inlineStr">
        <is>
          <t>2026-10-21</t>
        </is>
      </c>
      <c r="C6" s="22" t="inlineStr">
        <is>
          <t>1.0</t>
        </is>
      </c>
      <c r="D6" s="23" t="inlineStr">
        <is>
          <t>신규</t>
        </is>
      </c>
      <c r="E6" s="22" t="inlineStr">
        <is>
          <t>-</t>
        </is>
      </c>
      <c r="F6" s="24" t="inlineStr">
        <is>
          <t>기능목록서 최초 작성 — L1 14개 영역(A-06 분할 반영) + 공통(횡단) 1개를 대분류로, 현행분석서 7·8절과 L3 2건, HANDOVER 다음 작업 후보에서 기능 38행 도출</t>
        </is>
      </c>
      <c r="G6" s="24" t="inlineStr">
        <is>
          <t>현행 분석·L1 10절 ①~⑧ 결정 완료, PM 보고용 목록 필요</t>
        </is>
      </c>
      <c r="H6" s="23" t="inlineStr">
        <is>
          <t>안성진</t>
        </is>
      </c>
      <c r="I6" s="23" t="inlineStr">
        <is>
          <t>AI (rsp-mgmt-funclist)</t>
        </is>
      </c>
      <c r="J6" s="23" t="inlineStr">
        <is>
          <t>안성진</t>
        </is>
      </c>
      <c r="K6" s="24" t="inlineStr">
        <is>
          <t>담당자·난이도·일정은 문서에 근거가 있는 L3 2건만 채움</t>
        </is>
      </c>
    </row>
    <row r="7" customFormat="false" ht="21.75" hidden="false" customHeight="true" outlineLevel="0" collapsed="false">
      <c r="A7" s="28" t="str">
        <f aca="false">IF(B7="","",ROW()-5)</f>
        <v/>
      </c>
      <c r="B7" s="28"/>
      <c r="C7" s="28"/>
      <c r="D7" s="27"/>
      <c r="E7" s="27"/>
      <c r="F7" s="30"/>
      <c r="G7" s="30"/>
      <c r="H7" s="28"/>
      <c r="I7" s="28"/>
      <c r="J7" s="28"/>
      <c r="K7" s="30"/>
    </row>
    <row r="8" customFormat="false" ht="21.75" hidden="false" customHeight="true" outlineLevel="0" collapsed="false">
      <c r="A8" s="28" t="str">
        <f aca="false">IF(B8="","",ROW()-5)</f>
        <v/>
      </c>
      <c r="B8" s="28"/>
      <c r="C8" s="28"/>
      <c r="D8" s="27"/>
      <c r="E8" s="27"/>
      <c r="F8" s="30"/>
      <c r="G8" s="30"/>
      <c r="H8" s="28"/>
      <c r="I8" s="28"/>
      <c r="J8" s="28"/>
      <c r="K8" s="30"/>
    </row>
    <row r="9" customFormat="false" ht="21.75" hidden="false" customHeight="true" outlineLevel="0" collapsed="false">
      <c r="A9" s="28" t="str">
        <f aca="false">IF(B9="","",ROW()-5)</f>
        <v/>
      </c>
      <c r="B9" s="28"/>
      <c r="C9" s="28"/>
      <c r="D9" s="27"/>
      <c r="E9" s="27"/>
      <c r="F9" s="30"/>
      <c r="G9" s="30"/>
      <c r="H9" s="28"/>
      <c r="I9" s="28"/>
      <c r="J9" s="28"/>
      <c r="K9" s="30"/>
    </row>
    <row r="10" customFormat="false" ht="21.75" hidden="false" customHeight="true" outlineLevel="0" collapsed="false">
      <c r="A10" s="28" t="str">
        <f aca="false">IF(B10="","",ROW()-5)</f>
        <v/>
      </c>
      <c r="B10" s="28"/>
      <c r="C10" s="28"/>
      <c r="D10" s="27"/>
      <c r="E10" s="27"/>
      <c r="F10" s="30"/>
      <c r="G10" s="30"/>
      <c r="H10" s="28"/>
      <c r="I10" s="28"/>
      <c r="J10" s="28"/>
      <c r="K10" s="30"/>
    </row>
    <row r="11" customFormat="false" ht="21.75" hidden="false" customHeight="true" outlineLevel="0" collapsed="false">
      <c r="A11" s="28" t="str">
        <f aca="false">IF(B11="","",ROW()-5)</f>
        <v/>
      </c>
      <c r="B11" s="28"/>
      <c r="C11" s="28"/>
      <c r="D11" s="27"/>
      <c r="E11" s="27"/>
      <c r="F11" s="30"/>
      <c r="G11" s="30"/>
      <c r="H11" s="28"/>
      <c r="I11" s="28"/>
      <c r="J11" s="28"/>
      <c r="K11" s="30"/>
    </row>
    <row r="12" customFormat="false" ht="21.75" hidden="false" customHeight="true" outlineLevel="0" collapsed="false">
      <c r="A12" s="28" t="str">
        <f aca="false">IF(B12="","",ROW()-5)</f>
        <v/>
      </c>
      <c r="B12" s="28"/>
      <c r="C12" s="28"/>
      <c r="D12" s="27"/>
      <c r="E12" s="27"/>
      <c r="F12" s="30"/>
      <c r="G12" s="30"/>
      <c r="H12" s="28"/>
      <c r="I12" s="28"/>
      <c r="J12" s="28"/>
      <c r="K12" s="30"/>
    </row>
    <row r="13" customFormat="false" ht="21.75" hidden="false" customHeight="true" outlineLevel="0" collapsed="false">
      <c r="A13" s="28" t="str">
        <f aca="false">IF(B13="","",ROW()-5)</f>
        <v/>
      </c>
      <c r="B13" s="28"/>
      <c r="C13" s="28"/>
      <c r="D13" s="27"/>
      <c r="E13" s="27"/>
      <c r="F13" s="30"/>
      <c r="G13" s="30"/>
      <c r="H13" s="28"/>
      <c r="I13" s="28"/>
      <c r="J13" s="28"/>
      <c r="K13" s="30"/>
    </row>
    <row r="14" customFormat="false" ht="21.75" hidden="false" customHeight="true" outlineLevel="0" collapsed="false">
      <c r="A14" s="28" t="str">
        <f aca="false">IF(B14="","",ROW()-5)</f>
        <v/>
      </c>
      <c r="B14" s="28"/>
      <c r="C14" s="28"/>
      <c r="D14" s="27"/>
      <c r="E14" s="27"/>
      <c r="F14" s="30"/>
      <c r="G14" s="30"/>
      <c r="H14" s="28"/>
      <c r="I14" s="28"/>
      <c r="J14" s="28"/>
      <c r="K14" s="30"/>
    </row>
    <row r="15" customFormat="false" ht="21.75" hidden="false" customHeight="true" outlineLevel="0" collapsed="false">
      <c r="A15" s="28" t="str">
        <f aca="false">IF(B15="","",ROW()-5)</f>
        <v/>
      </c>
      <c r="B15" s="28"/>
      <c r="C15" s="28"/>
      <c r="D15" s="27"/>
      <c r="E15" s="27"/>
      <c r="F15" s="30"/>
      <c r="G15" s="30"/>
      <c r="H15" s="28"/>
      <c r="I15" s="28"/>
      <c r="J15" s="28"/>
      <c r="K15" s="30"/>
    </row>
    <row r="16" customFormat="false" ht="21.75" hidden="false" customHeight="true" outlineLevel="0" collapsed="false">
      <c r="A16" s="28" t="str">
        <f aca="false">IF(B16="","",ROW()-5)</f>
        <v/>
      </c>
      <c r="B16" s="28"/>
      <c r="C16" s="28"/>
      <c r="D16" s="27"/>
      <c r="E16" s="27"/>
      <c r="F16" s="30"/>
      <c r="G16" s="30"/>
      <c r="H16" s="28"/>
      <c r="I16" s="28"/>
      <c r="J16" s="28"/>
      <c r="K16" s="30"/>
    </row>
    <row r="17" customFormat="false" ht="21.75" hidden="false" customHeight="true" outlineLevel="0" collapsed="false">
      <c r="A17" s="28" t="str">
        <f aca="false">IF(B17="","",ROW()-5)</f>
        <v/>
      </c>
      <c r="B17" s="28"/>
      <c r="C17" s="28"/>
      <c r="D17" s="27"/>
      <c r="E17" s="27"/>
      <c r="F17" s="30"/>
      <c r="G17" s="30"/>
      <c r="H17" s="28"/>
      <c r="I17" s="28"/>
      <c r="J17" s="28"/>
      <c r="K17" s="30"/>
    </row>
    <row r="18" customFormat="false" ht="21.75" hidden="false" customHeight="true" outlineLevel="0" collapsed="false">
      <c r="A18" s="28" t="str">
        <f aca="false">IF(B18="","",ROW()-5)</f>
        <v/>
      </c>
      <c r="B18" s="28"/>
      <c r="C18" s="28"/>
      <c r="D18" s="27"/>
      <c r="E18" s="27"/>
      <c r="F18" s="30"/>
      <c r="G18" s="30"/>
      <c r="H18" s="28"/>
      <c r="I18" s="28"/>
      <c r="J18" s="28"/>
      <c r="K18" s="30"/>
    </row>
    <row r="19" customFormat="false" ht="21.75" hidden="false" customHeight="true" outlineLevel="0" collapsed="false">
      <c r="A19" s="28" t="str">
        <f aca="false">IF(B19="","",ROW()-5)</f>
        <v/>
      </c>
      <c r="B19" s="28"/>
      <c r="C19" s="28"/>
      <c r="D19" s="27"/>
      <c r="E19" s="27"/>
      <c r="F19" s="30"/>
      <c r="G19" s="30"/>
      <c r="H19" s="28"/>
      <c r="I19" s="28"/>
      <c r="J19" s="28"/>
      <c r="K19" s="30"/>
    </row>
    <row r="20" customFormat="false" ht="21.75" hidden="false" customHeight="true" outlineLevel="0" collapsed="false">
      <c r="A20" s="28" t="str">
        <f aca="false">IF(B20="","",ROW()-5)</f>
        <v/>
      </c>
      <c r="B20" s="28"/>
      <c r="C20" s="28"/>
      <c r="D20" s="27"/>
      <c r="E20" s="27"/>
      <c r="F20" s="30"/>
      <c r="G20" s="30"/>
      <c r="H20" s="28"/>
      <c r="I20" s="28"/>
      <c r="J20" s="28"/>
      <c r="K20" s="30"/>
    </row>
    <row r="21" customFormat="false" ht="21.75" hidden="false" customHeight="true" outlineLevel="0" collapsed="false">
      <c r="A21" s="28" t="str">
        <f aca="false">IF(B21="","",ROW()-5)</f>
        <v/>
      </c>
      <c r="B21" s="28"/>
      <c r="C21" s="28"/>
      <c r="D21" s="27"/>
      <c r="E21" s="27"/>
      <c r="F21" s="30"/>
      <c r="G21" s="30"/>
      <c r="H21" s="28"/>
      <c r="I21" s="28"/>
      <c r="J21" s="28"/>
      <c r="K21" s="30"/>
    </row>
    <row r="22" customFormat="false" ht="21.75" hidden="false" customHeight="true" outlineLevel="0" collapsed="false">
      <c r="A22" s="28" t="str">
        <f aca="false">IF(B22="","",ROW()-5)</f>
        <v/>
      </c>
      <c r="B22" s="28"/>
      <c r="C22" s="28"/>
      <c r="D22" s="27"/>
      <c r="E22" s="27"/>
      <c r="F22" s="30"/>
      <c r="G22" s="30"/>
      <c r="H22" s="28"/>
      <c r="I22" s="28"/>
      <c r="J22" s="28"/>
      <c r="K22" s="30"/>
    </row>
    <row r="23" customFormat="false" ht="21.75" hidden="false" customHeight="true" outlineLevel="0" collapsed="false">
      <c r="A23" s="28" t="str">
        <f aca="false">IF(B23="","",ROW()-5)</f>
        <v/>
      </c>
      <c r="B23" s="28"/>
      <c r="C23" s="28"/>
      <c r="D23" s="27"/>
      <c r="E23" s="27"/>
      <c r="F23" s="30"/>
      <c r="G23" s="30"/>
      <c r="H23" s="28"/>
      <c r="I23" s="28"/>
      <c r="J23" s="28"/>
      <c r="K23" s="30"/>
    </row>
    <row r="24" customFormat="false" ht="21.75" hidden="false" customHeight="true" outlineLevel="0" collapsed="false">
      <c r="A24" s="28" t="str">
        <f aca="false">IF(B24="","",ROW()-5)</f>
        <v/>
      </c>
      <c r="B24" s="28"/>
      <c r="C24" s="28"/>
      <c r="D24" s="27"/>
      <c r="E24" s="27"/>
      <c r="F24" s="30"/>
      <c r="G24" s="30"/>
      <c r="H24" s="28"/>
      <c r="I24" s="28"/>
      <c r="J24" s="28"/>
      <c r="K24" s="30"/>
    </row>
    <row r="25" customFormat="false" ht="21.75" hidden="false" customHeight="true" outlineLevel="0" collapsed="false">
      <c r="A25" s="28" t="str">
        <f aca="false">IF(B25="","",ROW()-5)</f>
        <v/>
      </c>
      <c r="B25" s="28"/>
      <c r="C25" s="28"/>
      <c r="D25" s="27"/>
      <c r="E25" s="27"/>
      <c r="F25" s="30"/>
      <c r="G25" s="30"/>
      <c r="H25" s="28"/>
      <c r="I25" s="28"/>
      <c r="J25" s="28"/>
      <c r="K25" s="30"/>
    </row>
    <row r="26" customFormat="false" ht="21.75" hidden="false" customHeight="true" outlineLevel="0" collapsed="false">
      <c r="A26" s="28" t="str">
        <f aca="false">IF(B26="","",ROW()-5)</f>
        <v/>
      </c>
      <c r="B26" s="28"/>
      <c r="C26" s="28"/>
      <c r="D26" s="27"/>
      <c r="E26" s="27"/>
      <c r="F26" s="30"/>
      <c r="G26" s="30"/>
      <c r="H26" s="28"/>
      <c r="I26" s="28"/>
      <c r="J26" s="28"/>
      <c r="K26" s="30"/>
    </row>
    <row r="27" customFormat="false" ht="21.75" hidden="false" customHeight="true" outlineLevel="0" collapsed="false">
      <c r="A27" s="28" t="str">
        <f aca="false">IF(B27="","",ROW()-5)</f>
        <v/>
      </c>
      <c r="B27" s="28"/>
      <c r="C27" s="28"/>
      <c r="D27" s="27"/>
      <c r="E27" s="27"/>
      <c r="F27" s="30"/>
      <c r="G27" s="30"/>
      <c r="H27" s="28"/>
      <c r="I27" s="28"/>
      <c r="J27" s="28"/>
      <c r="K27" s="30"/>
    </row>
    <row r="28" customFormat="false" ht="21.75" hidden="false" customHeight="true" outlineLevel="0" collapsed="false">
      <c r="A28" s="28" t="str">
        <f aca="false">IF(B28="","",ROW()-5)</f>
        <v/>
      </c>
      <c r="B28" s="28"/>
      <c r="C28" s="28"/>
      <c r="D28" s="27"/>
      <c r="E28" s="27"/>
      <c r="F28" s="30"/>
      <c r="G28" s="30"/>
      <c r="H28" s="28"/>
      <c r="I28" s="28"/>
      <c r="J28" s="28"/>
      <c r="K28" s="30"/>
    </row>
    <row r="29" customFormat="false" ht="21.75" hidden="false" customHeight="true" outlineLevel="0" collapsed="false">
      <c r="A29" s="28" t="str">
        <f aca="false">IF(B29="","",ROW()-5)</f>
        <v/>
      </c>
      <c r="B29" s="28"/>
      <c r="C29" s="28"/>
      <c r="D29" s="27"/>
      <c r="E29" s="27"/>
      <c r="F29" s="30"/>
      <c r="G29" s="30"/>
      <c r="H29" s="28"/>
      <c r="I29" s="28"/>
      <c r="J29" s="28"/>
      <c r="K29" s="30"/>
    </row>
    <row r="30" customFormat="false" ht="21.75" hidden="false" customHeight="true" outlineLevel="0" collapsed="false">
      <c r="A30" s="28" t="str">
        <f aca="false">IF(B30="","",ROW()-5)</f>
        <v/>
      </c>
      <c r="B30" s="28"/>
      <c r="C30" s="28"/>
      <c r="D30" s="27"/>
      <c r="E30" s="27"/>
      <c r="F30" s="30"/>
      <c r="G30" s="30"/>
      <c r="H30" s="28"/>
      <c r="I30" s="28"/>
      <c r="J30" s="28"/>
      <c r="K30" s="30"/>
    </row>
    <row r="31" customFormat="false" ht="21.75" hidden="false" customHeight="true" outlineLevel="0" collapsed="false">
      <c r="A31" s="28" t="str">
        <f aca="false">IF(B31="","",ROW()-5)</f>
        <v/>
      </c>
      <c r="B31" s="28"/>
      <c r="C31" s="28"/>
      <c r="D31" s="27"/>
      <c r="E31" s="27"/>
      <c r="F31" s="30"/>
      <c r="G31" s="30"/>
      <c r="H31" s="28"/>
      <c r="I31" s="28"/>
      <c r="J31" s="28"/>
      <c r="K31" s="30"/>
    </row>
    <row r="32" customFormat="false" ht="21.75" hidden="false" customHeight="true" outlineLevel="0" collapsed="false">
      <c r="A32" s="28" t="str">
        <f aca="false">IF(B32="","",ROW()-5)</f>
        <v/>
      </c>
      <c r="B32" s="28"/>
      <c r="C32" s="28"/>
      <c r="D32" s="27"/>
      <c r="E32" s="27"/>
      <c r="F32" s="30"/>
      <c r="G32" s="30"/>
      <c r="H32" s="28"/>
      <c r="I32" s="28"/>
      <c r="J32" s="28"/>
      <c r="K32" s="30"/>
    </row>
    <row r="33" customFormat="false" ht="21.75" hidden="false" customHeight="true" outlineLevel="0" collapsed="false">
      <c r="A33" s="28" t="str">
        <f aca="false">IF(B33="","",ROW()-5)</f>
        <v/>
      </c>
      <c r="B33" s="28"/>
      <c r="C33" s="28"/>
      <c r="D33" s="27"/>
      <c r="E33" s="27"/>
      <c r="F33" s="30"/>
      <c r="G33" s="30"/>
      <c r="H33" s="28"/>
      <c r="I33" s="28"/>
      <c r="J33" s="28"/>
      <c r="K33" s="30"/>
    </row>
    <row r="34" customFormat="false" ht="21.75" hidden="false" customHeight="true" outlineLevel="0" collapsed="false">
      <c r="A34" s="28" t="str">
        <f aca="false">IF(B34="","",ROW()-5)</f>
        <v/>
      </c>
      <c r="B34" s="28"/>
      <c r="C34" s="28"/>
      <c r="D34" s="27"/>
      <c r="E34" s="27"/>
      <c r="F34" s="30"/>
      <c r="G34" s="30"/>
      <c r="H34" s="28"/>
      <c r="I34" s="28"/>
      <c r="J34" s="28"/>
      <c r="K34" s="30"/>
    </row>
    <row r="35" customFormat="false" ht="21.75" hidden="false" customHeight="true" outlineLevel="0" collapsed="false">
      <c r="A35" s="28" t="str">
        <f aca="false">IF(B35="","",ROW()-5)</f>
        <v/>
      </c>
      <c r="B35" s="28"/>
      <c r="C35" s="28"/>
      <c r="D35" s="27"/>
      <c r="E35" s="27"/>
      <c r="F35" s="30"/>
      <c r="G35" s="30"/>
      <c r="H35" s="28"/>
      <c r="I35" s="28"/>
      <c r="J35" s="28"/>
      <c r="K35" s="30"/>
    </row>
    <row r="36" customFormat="false" ht="21.75" hidden="false" customHeight="true" outlineLevel="0" collapsed="false">
      <c r="A36" s="28" t="str">
        <f aca="false">IF(B36="","",ROW()-5)</f>
        <v/>
      </c>
      <c r="B36" s="28"/>
      <c r="C36" s="28"/>
      <c r="D36" s="27"/>
      <c r="E36" s="27"/>
      <c r="F36" s="30"/>
      <c r="G36" s="30"/>
      <c r="H36" s="28"/>
      <c r="I36" s="28"/>
      <c r="J36" s="28"/>
      <c r="K36" s="30"/>
    </row>
  </sheetData>
  <autoFilter ref="A5:K36"/>
  <dataValidations count="2">
    <dataValidation allowBlank="true" errorStyle="stop" operator="between" showDropDown="false" showErrorMessage="false" showInputMessage="false" sqref="D6:D100" type="list">
      <formula1>'설정 및 코드'!$F$2:$F$6</formula1>
      <formula2>0</formula2>
    </dataValidation>
    <dataValidation allowBlank="true" errorStyle="stop" operator="between" showDropDown="false" showErrorMessage="false" showInputMessage="false" sqref="E6:E100" type="list">
      <formula1>기능목록서!$B$6:$B$100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22"/>
  </cols>
  <sheetData>
    <row r="1" customFormat="false" ht="15" hidden="false" customHeight="true" outlineLevel="0" collapsed="false">
      <c r="A1" s="34" t="s">
        <v>164</v>
      </c>
      <c r="B1" s="34" t="s">
        <v>24</v>
      </c>
      <c r="C1" s="34" t="s">
        <v>38</v>
      </c>
      <c r="D1" s="34" t="s">
        <v>36</v>
      </c>
      <c r="E1" s="34" t="s">
        <v>32</v>
      </c>
      <c r="F1" s="35" t="s">
        <v>152</v>
      </c>
    </row>
    <row r="2" customFormat="false" ht="16.5" hidden="false" customHeight="true" outlineLevel="0" collapsed="false">
      <c r="B2" s="36" t="inlineStr">
        <is>
          <t>긴급</t>
        </is>
      </c>
      <c r="C2" s="36" t="inlineStr">
        <is>
          <t>미착수</t>
        </is>
      </c>
      <c r="D2" s="36" t="inlineStr">
        <is>
          <t>상</t>
        </is>
      </c>
      <c r="E2" s="36" t="inlineStr">
        <is>
          <t>인증·사용자</t>
        </is>
      </c>
      <c r="F2" s="36" t="inlineStr">
        <is>
          <t>신규</t>
        </is>
      </c>
    </row>
    <row r="3" customFormat="false" ht="16.5" hidden="false" customHeight="true" outlineLevel="0" collapsed="false">
      <c r="B3" s="36" t="inlineStr">
        <is>
          <t>상</t>
        </is>
      </c>
      <c r="C3" s="36" t="inlineStr">
        <is>
          <t>설계중</t>
        </is>
      </c>
      <c r="D3" s="36" t="inlineStr">
        <is>
          <t>중</t>
        </is>
      </c>
      <c r="E3" s="36" t="inlineStr">
        <is>
          <t>운영시스템 마스터</t>
        </is>
      </c>
      <c r="F3" s="36" t="inlineStr">
        <is>
          <t>수정</t>
        </is>
      </c>
    </row>
    <row r="4" customFormat="false" ht="16.5" hidden="false" customHeight="true" outlineLevel="0" collapsed="false">
      <c r="B4" s="36" t="inlineStr">
        <is>
          <t>중</t>
        </is>
      </c>
      <c r="C4" s="36" t="inlineStr">
        <is>
          <t>개발중</t>
        </is>
      </c>
      <c r="D4" s="36" t="inlineStr">
        <is>
          <t>하</t>
        </is>
      </c>
      <c r="E4" s="36" t="inlineStr">
        <is>
          <t>변경 요청</t>
        </is>
      </c>
      <c r="F4" s="36" t="inlineStr">
        <is>
          <t>삭제</t>
        </is>
      </c>
    </row>
    <row r="5" customFormat="false" ht="16.5" hidden="false" customHeight="true" outlineLevel="0" collapsed="false">
      <c r="B5" s="36" t="inlineStr">
        <is>
          <t>하</t>
        </is>
      </c>
      <c r="C5" s="36" t="inlineStr">
        <is>
          <t>테스트</t>
        </is>
      </c>
      <c r="E5" s="36" t="inlineStr">
        <is>
          <t>배포 요청</t>
        </is>
      </c>
      <c r="F5" s="36" t="inlineStr">
        <is>
          <t>보류</t>
        </is>
      </c>
    </row>
    <row r="6" customFormat="false" ht="16.5" hidden="false" customHeight="true" outlineLevel="0" collapsed="false">
      <c r="C6" s="36" t="inlineStr">
        <is>
          <t>완료</t>
        </is>
      </c>
      <c r="E6" s="36" t="inlineStr">
        <is>
          <t>인벤토리</t>
        </is>
      </c>
      <c r="F6" s="36" t="inlineStr">
        <is>
          <t>범위변경</t>
        </is>
      </c>
    </row>
    <row r="7" customFormat="false" ht="16.5" hidden="false" customHeight="true" outlineLevel="0" collapsed="false">
      <c r="C7" s="36" t="inlineStr">
        <is>
          <t>보류</t>
        </is>
      </c>
      <c r="E7" s="36" t="inlineStr">
        <is>
          <t>회의록</t>
        </is>
      </c>
    </row>
    <row r="8" customFormat="false" ht="16.5" hidden="false" customHeight="true" outlineLevel="0" collapsed="false">
      <c r="E8" s="36" t="inlineStr">
        <is>
          <t>주간보고</t>
        </is>
      </c>
    </row>
    <row r="9" customFormat="false" ht="16.5" hidden="false" customHeight="true" outlineLevel="0" collapsed="false">
      <c r="E9" s="36" t="inlineStr">
        <is>
          <t>일일점검</t>
        </is>
      </c>
    </row>
    <row r="10" customFormat="false" ht="16.5" hidden="false" customHeight="true" outlineLevel="0" collapsed="false">
      <c r="E10" s="36" t="inlineStr">
        <is>
          <t>손익</t>
        </is>
      </c>
    </row>
    <row r="11" customFormat="false" ht="16.5" hidden="false" customHeight="true" outlineLevel="0" collapsed="false">
      <c r="E11" s="36" t="inlineStr">
        <is>
          <t>과제·업무단위·To-Do</t>
        </is>
      </c>
    </row>
    <row r="12" customFormat="false" ht="16.5" hidden="false" customHeight="true" outlineLevel="0" collapsed="false">
      <c r="E12" s="36" t="inlineStr">
        <is>
          <t>메뉴 권한</t>
        </is>
      </c>
    </row>
    <row r="13" customFormat="false" ht="16.5" hidden="false" customHeight="true" outlineLevel="0" collapsed="false">
      <c r="E13" s="36" t="inlineStr">
        <is>
          <t>알림·외부 연동</t>
        </is>
      </c>
    </row>
    <row r="14" customFormat="false" ht="16.5" hidden="false" customHeight="true" outlineLevel="0" collapsed="false">
      <c r="E14" s="36" t="inlineStr">
        <is>
          <t>AI 기능</t>
        </is>
      </c>
    </row>
    <row r="15" customFormat="false" ht="16.5" hidden="false" customHeight="true" outlineLevel="0" collapsed="false">
      <c r="E15" s="36" t="inlineStr">
        <is>
          <t>대시보드</t>
        </is>
      </c>
    </row>
    <row r="16" customFormat="false" ht="16.5" hidden="false" customHeight="true" outlineLevel="0" collapsed="false">
      <c r="E16" s="36" t="inlineStr">
        <is>
          <t>공통(횡단)</t>
        </is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2026-09-01T07:45:10Z</dcterms:created>
  <dc:creator>openpyxl</dc:creator>
  <dc:description/>
  <dc:language>en-US</dc:language>
  <cp:lastModifiedBy/>
  <dcterms:modified xsi:type="dcterms:W3CDTF">2026-10-20T02:03:30Z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